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ower automation\PlantData\"/>
    </mc:Choice>
  </mc:AlternateContent>
  <xr:revisionPtr revIDLastSave="0" documentId="13_ncr:1_{687B8412-56AE-46A3-BFDB-886CD28618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Energy Varian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1" l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S15" i="1"/>
  <c r="R15" i="1"/>
  <c r="Q15" i="1"/>
  <c r="P15" i="1"/>
  <c r="O15" i="1"/>
  <c r="N15" i="1"/>
  <c r="M15" i="1"/>
  <c r="L15" i="1"/>
  <c r="S14" i="1"/>
  <c r="R14" i="1"/>
  <c r="Q14" i="1"/>
  <c r="P14" i="1"/>
  <c r="O14" i="1"/>
  <c r="N14" i="1"/>
  <c r="M14" i="1"/>
  <c r="L14" i="1"/>
  <c r="S13" i="1"/>
  <c r="R13" i="1"/>
  <c r="P13" i="1"/>
  <c r="O13" i="1"/>
  <c r="N13" i="1"/>
  <c r="M13" i="1"/>
  <c r="S12" i="1"/>
  <c r="R12" i="1"/>
  <c r="Q12" i="1"/>
  <c r="P12" i="1"/>
  <c r="O12" i="1"/>
  <c r="N12" i="1"/>
  <c r="M12" i="1"/>
  <c r="L12" i="1"/>
  <c r="S11" i="1"/>
  <c r="R11" i="1"/>
  <c r="Q11" i="1"/>
  <c r="P11" i="1"/>
  <c r="O11" i="1"/>
  <c r="N11" i="1"/>
  <c r="M11" i="1"/>
  <c r="L11" i="1"/>
  <c r="S10" i="1"/>
  <c r="R10" i="1"/>
  <c r="Q10" i="1"/>
  <c r="P10" i="1"/>
  <c r="O10" i="1"/>
  <c r="N10" i="1"/>
  <c r="M10" i="1"/>
  <c r="L10" i="1"/>
  <c r="S9" i="1"/>
  <c r="R9" i="1"/>
  <c r="Q9" i="1"/>
  <c r="P9" i="1"/>
  <c r="O9" i="1"/>
  <c r="N9" i="1"/>
  <c r="M9" i="1"/>
  <c r="L9" i="1"/>
  <c r="S8" i="1"/>
  <c r="R8" i="1"/>
  <c r="Q8" i="1"/>
  <c r="P8" i="1"/>
  <c r="O8" i="1"/>
  <c r="N8" i="1"/>
  <c r="M8" i="1"/>
  <c r="L8" i="1"/>
  <c r="S7" i="1"/>
  <c r="R7" i="1"/>
  <c r="Q7" i="1"/>
  <c r="P7" i="1"/>
  <c r="O7" i="1"/>
  <c r="N7" i="1"/>
  <c r="M7" i="1"/>
  <c r="L7" i="1"/>
  <c r="S6" i="1"/>
  <c r="R6" i="1"/>
  <c r="Q6" i="1"/>
  <c r="P6" i="1"/>
  <c r="O6" i="1"/>
  <c r="N6" i="1"/>
  <c r="M6" i="1"/>
  <c r="L6" i="1"/>
  <c r="S5" i="1"/>
  <c r="R5" i="1"/>
  <c r="Q5" i="1"/>
  <c r="P5" i="1"/>
  <c r="O5" i="1"/>
  <c r="N5" i="1"/>
  <c r="M5" i="1"/>
  <c r="L5" i="1"/>
  <c r="S4" i="1"/>
  <c r="R4" i="1"/>
  <c r="Q4" i="1"/>
  <c r="P4" i="1"/>
  <c r="O4" i="1"/>
  <c r="N4" i="1"/>
  <c r="M4" i="1"/>
  <c r="L4" i="1"/>
  <c r="S3" i="1"/>
  <c r="R3" i="1"/>
  <c r="Q3" i="1"/>
  <c r="P3" i="1"/>
  <c r="O3" i="1"/>
  <c r="N3" i="1"/>
  <c r="M3" i="1"/>
  <c r="L3" i="1"/>
  <c r="S2" i="1"/>
  <c r="R2" i="1"/>
  <c r="Q2" i="1"/>
  <c r="P2" i="1"/>
  <c r="O2" i="1"/>
  <c r="N2" i="1"/>
  <c r="M2" i="1"/>
  <c r="L2" i="1"/>
  <c r="K2" i="1"/>
  <c r="K15" i="1"/>
  <c r="K14" i="1"/>
  <c r="K13" i="1"/>
  <c r="K12" i="1"/>
  <c r="K11" i="1"/>
  <c r="K10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<sst xmlns="http://schemas.openxmlformats.org/spreadsheetml/2006/main" count="38" uniqueCount="38">
  <si>
    <t>Date</t>
  </si>
  <si>
    <t>V1 - DUNKIN BLAST</t>
  </si>
  <si>
    <t>V2 - BMC BLAST</t>
  </si>
  <si>
    <t>V3 - CLC BLAST</t>
  </si>
  <si>
    <t>V4 - DEEP1 BLAST</t>
  </si>
  <si>
    <t>V5 - DEEP2 BLAST</t>
  </si>
  <si>
    <t>V6 - DUNKIN RACK</t>
  </si>
  <si>
    <t>V7 - BMC RACK</t>
  </si>
  <si>
    <t>V8 - CLC RACK</t>
  </si>
  <si>
    <t>V9 - DEEP RACK</t>
  </si>
  <si>
    <t>consump. v1</t>
  </si>
  <si>
    <t>consump. v2</t>
  </si>
  <si>
    <t>consump. v3</t>
  </si>
  <si>
    <t>consump. v4</t>
  </si>
  <si>
    <t>consump. v5</t>
  </si>
  <si>
    <t>consump. v6</t>
  </si>
  <si>
    <t>consump. v7</t>
  </si>
  <si>
    <t>consump. v8</t>
  </si>
  <si>
    <t>consump. v9</t>
  </si>
  <si>
    <t>dunkin consmp.</t>
  </si>
  <si>
    <t>clc consump.</t>
  </si>
  <si>
    <t>bmc consump.</t>
  </si>
  <si>
    <t>deep consumption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</si>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</sst>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"/>
  <sheetViews>
    <sheetView tabSelected="1" workbookViewId="0">
      <selection activeCell="Q14" sqref="Q14"/>
    </sheetView>
  </sheetViews>
  <sheetFormatPr defaultRowHeight="14.4" x14ac:dyDescent="0.3"/>
  <cols>
    <col min="1" max="1" width="10.3320312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t="s">
        <v>23</v>
      </c>
      <c r="B2">
        <v>395857.8208333333</v>
      </c>
      <c r="D2">
        <v>34938.308333333327</v>
      </c>
      <c r="E2">
        <v>355253.64166666672</v>
      </c>
      <c r="F2">
        <v>238468.05833333329</v>
      </c>
      <c r="G2">
        <v>502608.66249999998</v>
      </c>
      <c r="I2">
        <v>671543.62083333335</v>
      </c>
      <c r="J2">
        <v>1383047.625</v>
      </c>
      <c r="K2">
        <f>B3-B2</f>
        <v>503.93568840582157</v>
      </c>
      <c r="L2">
        <f t="shared" ref="L2:S15" si="0">C3-C2</f>
        <v>0</v>
      </c>
      <c r="M2">
        <f t="shared" si="0"/>
        <v>306.10905797102168</v>
      </c>
      <c r="N2">
        <f t="shared" si="0"/>
        <v>372.1974637680687</v>
      </c>
      <c r="O2">
        <f t="shared" si="0"/>
        <v>226.95905797110754</v>
      </c>
      <c r="P2">
        <f t="shared" si="0"/>
        <v>917.64619565219618</v>
      </c>
      <c r="Q2">
        <f t="shared" si="0"/>
        <v>0</v>
      </c>
      <c r="R2">
        <f t="shared" si="0"/>
        <v>1168.6443840579595</v>
      </c>
      <c r="S2">
        <f t="shared" si="0"/>
        <v>1437.5923913039733</v>
      </c>
      <c r="T2">
        <f>K2+P2</f>
        <v>1421.5818840580177</v>
      </c>
      <c r="U2">
        <f>M2+R2</f>
        <v>1474.7534420289812</v>
      </c>
      <c r="V2">
        <f>L2+Q2</f>
        <v>0</v>
      </c>
      <c r="W2">
        <f>N2+O2+S2</f>
        <v>2036.7489130431495</v>
      </c>
    </row>
    <row r="3" spans="1:23" x14ac:dyDescent="0.3">
      <c r="A3" t="s">
        <v>24</v>
      </c>
      <c r="B3">
        <v>396361.75652173912</v>
      </c>
      <c r="D3">
        <v>35244.417391304349</v>
      </c>
      <c r="E3">
        <v>355625.83913043479</v>
      </c>
      <c r="F3">
        <v>238695.0173913044</v>
      </c>
      <c r="G3">
        <v>503526.30869565217</v>
      </c>
      <c r="I3">
        <v>672712.26521739131</v>
      </c>
      <c r="J3">
        <v>1384485.217391304</v>
      </c>
      <c r="K3">
        <f>B4-B3</f>
        <v>496.42681159416679</v>
      </c>
      <c r="L3">
        <f t="shared" si="0"/>
        <v>0</v>
      </c>
      <c r="M3">
        <f t="shared" si="0"/>
        <v>329.58677536232426</v>
      </c>
      <c r="N3">
        <f t="shared" si="0"/>
        <v>361.36086956522195</v>
      </c>
      <c r="O3">
        <f t="shared" si="0"/>
        <v>220.32427536230534</v>
      </c>
      <c r="P3">
        <f t="shared" si="0"/>
        <v>862.89130434783874</v>
      </c>
      <c r="Q3">
        <f t="shared" si="0"/>
        <v>0</v>
      </c>
      <c r="R3">
        <f t="shared" si="0"/>
        <v>1413.2139492753195</v>
      </c>
      <c r="S3">
        <f t="shared" si="0"/>
        <v>1379.9076086960267</v>
      </c>
      <c r="T3">
        <f t="shared" ref="T3:T16" si="1">K3+P3</f>
        <v>1359.3181159420055</v>
      </c>
      <c r="U3">
        <f t="shared" ref="U3:U16" si="2">M3+R3</f>
        <v>1742.8007246376437</v>
      </c>
      <c r="V3">
        <f t="shared" ref="V3:V16" si="3">L3+Q3</f>
        <v>0</v>
      </c>
      <c r="W3">
        <f t="shared" ref="W3:W16" si="4">N3+O3+S3</f>
        <v>1961.592753623554</v>
      </c>
    </row>
    <row r="4" spans="1:23" x14ac:dyDescent="0.3">
      <c r="A4" t="s">
        <v>25</v>
      </c>
      <c r="B4">
        <v>396858.18333333329</v>
      </c>
      <c r="D4">
        <v>35574.004166666673</v>
      </c>
      <c r="E4">
        <v>355987.20000000001</v>
      </c>
      <c r="F4">
        <v>238915.3416666667</v>
      </c>
      <c r="G4">
        <v>504389.2</v>
      </c>
      <c r="I4">
        <v>674125.47916666663</v>
      </c>
      <c r="J4">
        <v>1385865.125</v>
      </c>
      <c r="K4">
        <f t="shared" ref="K4:K16" si="5">B5-B4</f>
        <v>479.10833333339542</v>
      </c>
      <c r="L4">
        <f t="shared" si="0"/>
        <v>215925.89</v>
      </c>
      <c r="M4">
        <f t="shared" si="0"/>
        <v>329.5</v>
      </c>
      <c r="N4">
        <f t="shared" si="0"/>
        <v>371.74166666669771</v>
      </c>
      <c r="O4">
        <f t="shared" si="0"/>
        <v>228.74583333329065</v>
      </c>
      <c r="P4">
        <f t="shared" si="0"/>
        <v>852.5625</v>
      </c>
      <c r="Q4">
        <f t="shared" si="0"/>
        <v>302981.61</v>
      </c>
      <c r="R4">
        <f t="shared" si="0"/>
        <v>1317.6791666666977</v>
      </c>
      <c r="S4">
        <f t="shared" si="0"/>
        <v>1475.5</v>
      </c>
      <c r="T4">
        <f t="shared" si="1"/>
        <v>1331.6708333333954</v>
      </c>
      <c r="U4">
        <f t="shared" si="2"/>
        <v>1647.1791666666977</v>
      </c>
      <c r="V4">
        <f t="shared" si="3"/>
        <v>518907.5</v>
      </c>
      <c r="W4">
        <f t="shared" si="4"/>
        <v>2075.9874999999884</v>
      </c>
    </row>
    <row r="5" spans="1:23" x14ac:dyDescent="0.3">
      <c r="A5" t="s">
        <v>26</v>
      </c>
      <c r="B5">
        <v>397337.29166666669</v>
      </c>
      <c r="C5">
        <v>215925.89</v>
      </c>
      <c r="D5">
        <v>35903.504166666673</v>
      </c>
      <c r="E5">
        <v>356358.94166666671</v>
      </c>
      <c r="F5">
        <v>239144.08749999999</v>
      </c>
      <c r="G5">
        <v>505241.76250000001</v>
      </c>
      <c r="H5">
        <v>302981.61</v>
      </c>
      <c r="I5">
        <v>675443.15833333333</v>
      </c>
      <c r="J5">
        <v>1387340.625</v>
      </c>
      <c r="K5">
        <f t="shared" si="5"/>
        <v>125.60833333339542</v>
      </c>
      <c r="L5">
        <f t="shared" si="0"/>
        <v>302.85166666668374</v>
      </c>
      <c r="M5">
        <f t="shared" si="0"/>
        <v>334.19999999999709</v>
      </c>
      <c r="N5">
        <f t="shared" si="0"/>
        <v>377.45000000001164</v>
      </c>
      <c r="O5">
        <f t="shared" si="0"/>
        <v>232.8125</v>
      </c>
      <c r="P5">
        <f t="shared" si="0"/>
        <v>177.40416666667443</v>
      </c>
      <c r="Q5">
        <f t="shared" si="0"/>
        <v>392.19000000000233</v>
      </c>
      <c r="R5">
        <f t="shared" si="0"/>
        <v>1315.4958333333489</v>
      </c>
      <c r="S5">
        <f t="shared" si="0"/>
        <v>1425.0416666669771</v>
      </c>
      <c r="T5">
        <f t="shared" si="1"/>
        <v>303.01250000006985</v>
      </c>
      <c r="U5">
        <f t="shared" si="2"/>
        <v>1649.6958333333459</v>
      </c>
      <c r="V5">
        <f t="shared" si="3"/>
        <v>695.04166666668607</v>
      </c>
      <c r="W5">
        <f t="shared" si="4"/>
        <v>2035.3041666669887</v>
      </c>
    </row>
    <row r="6" spans="1:23" x14ac:dyDescent="0.3">
      <c r="A6" t="s">
        <v>27</v>
      </c>
      <c r="B6">
        <v>397462.90000000008</v>
      </c>
      <c r="C6">
        <v>216228.7416666667</v>
      </c>
      <c r="D6">
        <v>36237.70416666667</v>
      </c>
      <c r="E6">
        <v>356736.39166666672</v>
      </c>
      <c r="F6">
        <v>239376.9</v>
      </c>
      <c r="G6">
        <v>505419.16666666669</v>
      </c>
      <c r="H6">
        <v>303373.8</v>
      </c>
      <c r="I6">
        <v>676758.65416666667</v>
      </c>
      <c r="J6">
        <v>1388765.666666667</v>
      </c>
      <c r="K6">
        <f t="shared" si="5"/>
        <v>0</v>
      </c>
      <c r="L6">
        <f t="shared" si="0"/>
        <v>440.84166666661622</v>
      </c>
      <c r="M6">
        <f t="shared" si="0"/>
        <v>333.31666666667297</v>
      </c>
      <c r="N6">
        <f t="shared" si="0"/>
        <v>304.55833333329065</v>
      </c>
      <c r="O6">
        <f t="shared" si="0"/>
        <v>242.05833333331975</v>
      </c>
      <c r="P6">
        <f t="shared" si="0"/>
        <v>4.9041666667326353</v>
      </c>
      <c r="Q6">
        <f t="shared" si="0"/>
        <v>561.46666666673264</v>
      </c>
      <c r="R6">
        <f t="shared" si="0"/>
        <v>1338.1291666666511</v>
      </c>
      <c r="S6">
        <f t="shared" si="0"/>
        <v>1352.625</v>
      </c>
      <c r="T6">
        <f t="shared" si="1"/>
        <v>4.9041666667326353</v>
      </c>
      <c r="U6">
        <f t="shared" si="2"/>
        <v>1671.4458333333241</v>
      </c>
      <c r="V6">
        <f t="shared" si="3"/>
        <v>1002.3083333333489</v>
      </c>
      <c r="W6">
        <f t="shared" si="4"/>
        <v>1899.2416666666104</v>
      </c>
    </row>
    <row r="7" spans="1:23" x14ac:dyDescent="0.3">
      <c r="A7" t="s">
        <v>28</v>
      </c>
      <c r="B7">
        <v>397462.90000000008</v>
      </c>
      <c r="C7">
        <v>216669.58333333331</v>
      </c>
      <c r="D7">
        <v>36571.020833333343</v>
      </c>
      <c r="E7">
        <v>357040.95</v>
      </c>
      <c r="F7">
        <v>239618.95833333331</v>
      </c>
      <c r="G7">
        <v>505424.07083333342</v>
      </c>
      <c r="H7">
        <v>303935.26666666672</v>
      </c>
      <c r="I7">
        <v>678096.78333333333</v>
      </c>
      <c r="J7">
        <v>1390118.291666667</v>
      </c>
      <c r="K7">
        <f t="shared" si="5"/>
        <v>0</v>
      </c>
      <c r="L7">
        <f t="shared" si="0"/>
        <v>421.18623188408674</v>
      </c>
      <c r="M7">
        <f t="shared" si="0"/>
        <v>304.22699275360355</v>
      </c>
      <c r="N7">
        <f t="shared" si="0"/>
        <v>248.26739130431088</v>
      </c>
      <c r="O7">
        <f t="shared" si="0"/>
        <v>229.61992753617233</v>
      </c>
      <c r="P7">
        <f t="shared" si="0"/>
        <v>5.6856884057051502</v>
      </c>
      <c r="Q7">
        <f t="shared" si="0"/>
        <v>486.81159420276526</v>
      </c>
      <c r="R7">
        <f t="shared" si="0"/>
        <v>825.74275362328626</v>
      </c>
      <c r="S7">
        <f t="shared" si="0"/>
        <v>1489.4474637680687</v>
      </c>
      <c r="T7">
        <f t="shared" si="1"/>
        <v>5.6856884057051502</v>
      </c>
      <c r="U7">
        <f t="shared" si="2"/>
        <v>1129.9697463768898</v>
      </c>
      <c r="V7">
        <f t="shared" si="3"/>
        <v>907.997826086852</v>
      </c>
      <c r="W7">
        <f t="shared" si="4"/>
        <v>1967.3347826085519</v>
      </c>
    </row>
    <row r="8" spans="1:23" x14ac:dyDescent="0.3">
      <c r="A8" t="s">
        <v>29</v>
      </c>
      <c r="B8">
        <v>397462.9</v>
      </c>
      <c r="C8">
        <v>217090.7695652174</v>
      </c>
      <c r="D8">
        <v>36875.247826086947</v>
      </c>
      <c r="E8">
        <v>357289.21739130432</v>
      </c>
      <c r="F8">
        <v>239848.57826086949</v>
      </c>
      <c r="G8">
        <v>505429.75652173912</v>
      </c>
      <c r="H8">
        <v>304422.07826086949</v>
      </c>
      <c r="I8">
        <v>678922.52608695661</v>
      </c>
      <c r="J8">
        <v>1391607.739130435</v>
      </c>
      <c r="K8">
        <f t="shared" si="5"/>
        <v>0</v>
      </c>
      <c r="L8">
        <f t="shared" si="0"/>
        <v>424.0221014492854</v>
      </c>
      <c r="M8">
        <f t="shared" si="0"/>
        <v>248.2605072463848</v>
      </c>
      <c r="N8">
        <f t="shared" si="0"/>
        <v>252.1951086956542</v>
      </c>
      <c r="O8">
        <f t="shared" si="0"/>
        <v>232.4717391305021</v>
      </c>
      <c r="P8">
        <f t="shared" si="0"/>
        <v>4.9559782608994283</v>
      </c>
      <c r="Q8">
        <f t="shared" si="0"/>
        <v>473.84257246379275</v>
      </c>
      <c r="R8">
        <f t="shared" si="0"/>
        <v>838.66974637669045</v>
      </c>
      <c r="S8">
        <f t="shared" si="0"/>
        <v>1480.8858695649542</v>
      </c>
      <c r="T8">
        <f t="shared" si="1"/>
        <v>4.9559782608994283</v>
      </c>
      <c r="U8">
        <f t="shared" si="2"/>
        <v>1086.9302536230753</v>
      </c>
      <c r="V8">
        <f t="shared" si="3"/>
        <v>897.86467391307815</v>
      </c>
      <c r="W8">
        <f t="shared" si="4"/>
        <v>1965.5527173911105</v>
      </c>
    </row>
    <row r="9" spans="1:23" x14ac:dyDescent="0.3">
      <c r="A9" t="s">
        <v>30</v>
      </c>
      <c r="B9">
        <v>397462.90000000008</v>
      </c>
      <c r="C9">
        <v>217514.79166666669</v>
      </c>
      <c r="D9">
        <v>37123.508333333331</v>
      </c>
      <c r="E9">
        <v>357541.41249999998</v>
      </c>
      <c r="F9">
        <v>240081.05</v>
      </c>
      <c r="G9">
        <v>505434.71250000002</v>
      </c>
      <c r="H9">
        <v>304895.92083333328</v>
      </c>
      <c r="I9">
        <v>679761.1958333333</v>
      </c>
      <c r="J9">
        <v>1393088.625</v>
      </c>
      <c r="K9">
        <f t="shared" si="5"/>
        <v>0</v>
      </c>
      <c r="L9">
        <f t="shared" si="0"/>
        <v>419.86050724642701</v>
      </c>
      <c r="M9">
        <f t="shared" si="0"/>
        <v>339.82644927535875</v>
      </c>
      <c r="N9">
        <f t="shared" si="0"/>
        <v>252.99184782610973</v>
      </c>
      <c r="O9">
        <f t="shared" si="0"/>
        <v>237.93260869561345</v>
      </c>
      <c r="P9">
        <f t="shared" si="0"/>
        <v>6.4309782608761452</v>
      </c>
      <c r="Q9">
        <f t="shared" si="0"/>
        <v>471.29221014503855</v>
      </c>
      <c r="R9">
        <f t="shared" si="0"/>
        <v>1511.3346014493145</v>
      </c>
      <c r="S9">
        <f t="shared" si="0"/>
        <v>1441.8967391299084</v>
      </c>
      <c r="T9">
        <f t="shared" si="1"/>
        <v>6.4309782608761452</v>
      </c>
      <c r="U9">
        <f t="shared" si="2"/>
        <v>1851.1610507246733</v>
      </c>
      <c r="V9">
        <f t="shared" si="3"/>
        <v>891.15271739146556</v>
      </c>
      <c r="W9">
        <f t="shared" si="4"/>
        <v>1932.8211956516316</v>
      </c>
    </row>
    <row r="10" spans="1:23" x14ac:dyDescent="0.3">
      <c r="A10" t="s">
        <v>31</v>
      </c>
      <c r="B10">
        <v>397462.9</v>
      </c>
      <c r="C10">
        <v>217934.65217391311</v>
      </c>
      <c r="D10">
        <v>37463.33478260869</v>
      </c>
      <c r="E10">
        <v>357794.40434782609</v>
      </c>
      <c r="F10">
        <v>240318.9826086956</v>
      </c>
      <c r="G10">
        <v>505441.1434782609</v>
      </c>
      <c r="H10">
        <v>305367.21304347832</v>
      </c>
      <c r="I10">
        <v>681272.53043478262</v>
      </c>
      <c r="J10">
        <v>1394530.5217391299</v>
      </c>
      <c r="K10">
        <f t="shared" si="5"/>
        <v>0</v>
      </c>
      <c r="L10">
        <f t="shared" si="0"/>
        <v>424.36449275357882</v>
      </c>
      <c r="M10">
        <f t="shared" si="0"/>
        <v>329.86938405797991</v>
      </c>
      <c r="N10">
        <f t="shared" si="0"/>
        <v>305.78315217391355</v>
      </c>
      <c r="O10">
        <f t="shared" si="0"/>
        <v>242.42572463769466</v>
      </c>
      <c r="P10">
        <f t="shared" si="0"/>
        <v>5.423188405809924</v>
      </c>
      <c r="Q10">
        <f t="shared" si="0"/>
        <v>445.97028985497309</v>
      </c>
      <c r="R10">
        <f t="shared" si="0"/>
        <v>1324.0820652173134</v>
      </c>
      <c r="S10">
        <f t="shared" si="0"/>
        <v>1430.5615942031145</v>
      </c>
      <c r="T10">
        <f t="shared" si="1"/>
        <v>5.423188405809924</v>
      </c>
      <c r="U10">
        <f t="shared" si="2"/>
        <v>1653.9514492752933</v>
      </c>
      <c r="V10">
        <f t="shared" si="3"/>
        <v>870.3347826085519</v>
      </c>
      <c r="W10">
        <f t="shared" si="4"/>
        <v>1978.7704710147227</v>
      </c>
    </row>
    <row r="11" spans="1:23" x14ac:dyDescent="0.3">
      <c r="A11" t="s">
        <v>32</v>
      </c>
      <c r="B11">
        <v>397462.90000000008</v>
      </c>
      <c r="C11">
        <v>218359.01666666669</v>
      </c>
      <c r="D11">
        <v>37793.20416666667</v>
      </c>
      <c r="E11">
        <v>358100.1875</v>
      </c>
      <c r="F11">
        <v>240561.4083333333</v>
      </c>
      <c r="G11">
        <v>505446.56666666671</v>
      </c>
      <c r="H11">
        <v>305813.18333333329</v>
      </c>
      <c r="I11">
        <v>682596.61249999993</v>
      </c>
      <c r="J11">
        <v>1395961.083333333</v>
      </c>
      <c r="K11">
        <f t="shared" si="5"/>
        <v>47.34166666661622</v>
      </c>
      <c r="L11">
        <f t="shared" si="0"/>
        <v>387.72916666659876</v>
      </c>
      <c r="M11">
        <f t="shared" si="0"/>
        <v>328.78333333333285</v>
      </c>
      <c r="N11">
        <f t="shared" si="0"/>
        <v>380.11249999998836</v>
      </c>
      <c r="O11">
        <f t="shared" si="0"/>
        <v>229.40416666670353</v>
      </c>
      <c r="P11">
        <f t="shared" si="0"/>
        <v>117.57500000001164</v>
      </c>
      <c r="Q11">
        <f t="shared" si="0"/>
        <v>441.66666666668607</v>
      </c>
      <c r="R11">
        <f t="shared" si="0"/>
        <v>1432.2291666667443</v>
      </c>
      <c r="S11">
        <f t="shared" si="0"/>
        <v>1507.0416666669771</v>
      </c>
      <c r="T11">
        <f t="shared" si="1"/>
        <v>164.91666666662786</v>
      </c>
      <c r="U11">
        <f t="shared" si="2"/>
        <v>1761.0125000000771</v>
      </c>
      <c r="V11">
        <f t="shared" si="3"/>
        <v>829.39583333328483</v>
      </c>
      <c r="W11">
        <f t="shared" si="4"/>
        <v>2116.558333333669</v>
      </c>
    </row>
    <row r="12" spans="1:23" x14ac:dyDescent="0.3">
      <c r="A12" t="s">
        <v>33</v>
      </c>
      <c r="B12">
        <v>397510.2416666667</v>
      </c>
      <c r="C12">
        <v>218746.74583333329</v>
      </c>
      <c r="D12">
        <v>38121.987500000003</v>
      </c>
      <c r="E12">
        <v>358480.3</v>
      </c>
      <c r="F12">
        <v>240790.8125</v>
      </c>
      <c r="G12">
        <v>505564.14166666672</v>
      </c>
      <c r="H12">
        <v>306254.84999999998</v>
      </c>
      <c r="I12">
        <v>684028.84166666667</v>
      </c>
      <c r="J12">
        <v>1397468.125</v>
      </c>
      <c r="K12">
        <f t="shared" si="5"/>
        <v>421.27083333331393</v>
      </c>
      <c r="L12">
        <f t="shared" si="0"/>
        <v>64.654166666703532</v>
      </c>
      <c r="M12">
        <f t="shared" si="0"/>
        <v>333.5625</v>
      </c>
      <c r="N12">
        <f t="shared" si="0"/>
        <v>386.29166666662786</v>
      </c>
      <c r="O12">
        <f t="shared" si="0"/>
        <v>229.5625</v>
      </c>
      <c r="P12">
        <f t="shared" si="0"/>
        <v>866.48749999998836</v>
      </c>
      <c r="Q12">
        <f t="shared" si="0"/>
        <v>79.541666666744277</v>
      </c>
      <c r="R12">
        <f t="shared" si="0"/>
        <v>1419.6041666667443</v>
      </c>
      <c r="S12">
        <f t="shared" si="0"/>
        <v>1493.3333333330229</v>
      </c>
      <c r="T12">
        <f t="shared" si="1"/>
        <v>1287.7583333333023</v>
      </c>
      <c r="U12">
        <f t="shared" si="2"/>
        <v>1753.1666666667443</v>
      </c>
      <c r="V12">
        <f t="shared" si="3"/>
        <v>144.19583333344781</v>
      </c>
      <c r="W12">
        <f t="shared" si="4"/>
        <v>2109.1874999996508</v>
      </c>
    </row>
    <row r="13" spans="1:23" x14ac:dyDescent="0.3">
      <c r="A13" t="s">
        <v>34</v>
      </c>
      <c r="B13">
        <v>397931.51250000001</v>
      </c>
      <c r="C13">
        <v>218811.4</v>
      </c>
      <c r="D13">
        <v>38455.550000000003</v>
      </c>
      <c r="E13">
        <v>358866.59166666662</v>
      </c>
      <c r="F13">
        <v>241020.375</v>
      </c>
      <c r="G13">
        <v>506430.62916666671</v>
      </c>
      <c r="H13">
        <v>306334.39166666672</v>
      </c>
      <c r="I13">
        <v>685448.44583333342</v>
      </c>
      <c r="J13">
        <v>1398961.458333333</v>
      </c>
      <c r="K13">
        <f t="shared" si="5"/>
        <v>494.92499999998836</v>
      </c>
      <c r="L13">
        <v>0</v>
      </c>
      <c r="M13">
        <f t="shared" si="0"/>
        <v>332.32916666667006</v>
      </c>
      <c r="N13">
        <f t="shared" si="0"/>
        <v>382.76250000006985</v>
      </c>
      <c r="O13">
        <f t="shared" si="0"/>
        <v>237.09583333329647</v>
      </c>
      <c r="P13">
        <f t="shared" si="0"/>
        <v>987.97499999997672</v>
      </c>
      <c r="Q13">
        <v>0</v>
      </c>
      <c r="R13">
        <f t="shared" si="0"/>
        <v>1360.5333333332092</v>
      </c>
      <c r="S13">
        <f t="shared" si="0"/>
        <v>1504.1666666669771</v>
      </c>
      <c r="T13">
        <f t="shared" si="1"/>
        <v>1482.8999999999651</v>
      </c>
      <c r="U13">
        <f t="shared" si="2"/>
        <v>1692.8624999998792</v>
      </c>
      <c r="V13">
        <f t="shared" si="3"/>
        <v>0</v>
      </c>
      <c r="W13">
        <f t="shared" si="4"/>
        <v>2124.0250000003434</v>
      </c>
    </row>
    <row r="14" spans="1:23" x14ac:dyDescent="0.3">
      <c r="A14" t="s">
        <v>35</v>
      </c>
      <c r="B14">
        <v>398426.4375</v>
      </c>
      <c r="D14">
        <v>38787.879166666673</v>
      </c>
      <c r="E14">
        <v>359249.35416666669</v>
      </c>
      <c r="F14">
        <v>241257.4708333333</v>
      </c>
      <c r="G14">
        <v>507418.60416666669</v>
      </c>
      <c r="I14">
        <v>686808.97916666663</v>
      </c>
      <c r="J14">
        <v>1400465.625</v>
      </c>
      <c r="K14">
        <f t="shared" si="5"/>
        <v>487.90416666661622</v>
      </c>
      <c r="L14">
        <f t="shared" si="0"/>
        <v>0</v>
      </c>
      <c r="M14">
        <f t="shared" si="0"/>
        <v>321.90416666665988</v>
      </c>
      <c r="N14">
        <f t="shared" si="0"/>
        <v>387.5</v>
      </c>
      <c r="O14">
        <f t="shared" si="0"/>
        <v>241.30416666669771</v>
      </c>
      <c r="P14">
        <f t="shared" si="0"/>
        <v>798.57500000001164</v>
      </c>
      <c r="Q14">
        <f t="shared" si="0"/>
        <v>0</v>
      </c>
      <c r="R14">
        <f t="shared" si="0"/>
        <v>985.41250000009313</v>
      </c>
      <c r="S14">
        <f t="shared" si="0"/>
        <v>1530.2083333330229</v>
      </c>
      <c r="T14">
        <f t="shared" si="1"/>
        <v>1286.4791666666279</v>
      </c>
      <c r="U14">
        <f t="shared" si="2"/>
        <v>1307.316666666753</v>
      </c>
      <c r="V14">
        <f t="shared" si="3"/>
        <v>0</v>
      </c>
      <c r="W14">
        <f t="shared" si="4"/>
        <v>2159.0124999997206</v>
      </c>
    </row>
    <row r="15" spans="1:23" x14ac:dyDescent="0.3">
      <c r="A15" t="s">
        <v>36</v>
      </c>
      <c r="B15">
        <v>398914.34166666662</v>
      </c>
      <c r="D15">
        <v>39109.783333333333</v>
      </c>
      <c r="E15">
        <v>359636.85416666669</v>
      </c>
      <c r="F15">
        <v>241498.77499999999</v>
      </c>
      <c r="G15">
        <v>508217.1791666667</v>
      </c>
      <c r="I15">
        <v>687794.39166666672</v>
      </c>
      <c r="J15">
        <v>1401995.833333333</v>
      </c>
      <c r="K15">
        <f t="shared" si="5"/>
        <v>485.46250000008149</v>
      </c>
      <c r="L15">
        <f t="shared" si="0"/>
        <v>0</v>
      </c>
      <c r="M15">
        <f t="shared" si="0"/>
        <v>283.45833333333576</v>
      </c>
      <c r="N15">
        <f t="shared" si="0"/>
        <v>376.54583333333721</v>
      </c>
      <c r="O15">
        <f t="shared" si="0"/>
        <v>232.04166666671517</v>
      </c>
      <c r="P15">
        <f t="shared" si="0"/>
        <v>865.90000000002328</v>
      </c>
      <c r="Q15">
        <f t="shared" si="0"/>
        <v>0</v>
      </c>
      <c r="R15">
        <f t="shared" si="0"/>
        <v>857.55833333334886</v>
      </c>
      <c r="S15">
        <f t="shared" si="0"/>
        <v>1509.7083333339542</v>
      </c>
      <c r="T15">
        <f t="shared" si="1"/>
        <v>1351.3625000001048</v>
      </c>
      <c r="U15">
        <f t="shared" si="2"/>
        <v>1141.0166666666846</v>
      </c>
      <c r="V15">
        <f t="shared" si="3"/>
        <v>0</v>
      </c>
      <c r="W15">
        <f t="shared" si="4"/>
        <v>2118.2958333340066</v>
      </c>
    </row>
    <row r="16" spans="1:23" x14ac:dyDescent="0.3">
      <c r="A16" t="s">
        <v>37</v>
      </c>
      <c r="B16">
        <v>399399.8041666667</v>
      </c>
      <c r="D16">
        <v>39393.241666666669</v>
      </c>
      <c r="E16">
        <v>360013.4</v>
      </c>
      <c r="F16">
        <v>241730.81666666671</v>
      </c>
      <c r="G16">
        <v>509083.07916666672</v>
      </c>
      <c r="I16">
        <v>688651.95000000007</v>
      </c>
      <c r="J16">
        <v>1403505.541666667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f t="shared" si="1"/>
        <v>0</v>
      </c>
      <c r="U16">
        <f t="shared" si="2"/>
        <v>0</v>
      </c>
      <c r="V16">
        <f t="shared" si="3"/>
        <v>0</v>
      </c>
      <c r="W16">
        <f t="shared" si="4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Energy Variance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aayush aayush</cp:lastModifiedBy>
  <dcterms:created xsi:type="dcterms:W3CDTF">2026-06-16T09:33:11Z</dcterms:created>
  <dcterms:modified xsi:type="dcterms:W3CDTF">2026-06-16T11:47:12Z</dcterms:modified>
</cp:coreProperties>
</file>