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tyam.ray\Desktop\"/>
    </mc:Choice>
  </mc:AlternateContent>
  <bookViews>
    <workbookView xWindow="0" yWindow="0" windowWidth="2150" windowHeight="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4" i="1" l="1"/>
  <c r="Z1" i="1"/>
  <c r="X1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S1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9" i="1"/>
  <c r="G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3" i="1"/>
  <c r="M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3" i="1"/>
  <c r="R55" i="1"/>
  <c r="R56" i="1"/>
  <c r="R57" i="1"/>
  <c r="R58" i="1"/>
  <c r="Q55" i="1"/>
  <c r="Q56" i="1"/>
  <c r="Q57" i="1"/>
  <c r="Q58" i="1"/>
  <c r="O55" i="1"/>
  <c r="O56" i="1"/>
  <c r="O57" i="1"/>
  <c r="O58" i="1"/>
  <c r="L55" i="1"/>
  <c r="D53" i="2" s="1"/>
  <c r="L56" i="1"/>
  <c r="D54" i="2" s="1"/>
  <c r="L57" i="1"/>
  <c r="L58" i="1"/>
  <c r="K55" i="1"/>
  <c r="K56" i="1"/>
  <c r="K57" i="1"/>
  <c r="K58" i="1"/>
  <c r="I55" i="1"/>
  <c r="I56" i="1"/>
  <c r="I57" i="1"/>
  <c r="I58" i="1"/>
  <c r="F55" i="1"/>
  <c r="F56" i="1"/>
  <c r="F57" i="1"/>
  <c r="E55" i="1"/>
  <c r="E56" i="1"/>
  <c r="E57" i="1"/>
  <c r="C55" i="1"/>
  <c r="C56" i="1"/>
  <c r="C57" i="1"/>
  <c r="W55" i="1"/>
  <c r="W56" i="1"/>
  <c r="W57" i="1"/>
  <c r="D48" i="2"/>
  <c r="D49" i="2"/>
  <c r="D50" i="2"/>
  <c r="D51" i="2"/>
  <c r="D39" i="2"/>
  <c r="D40" i="2"/>
  <c r="D41" i="2"/>
  <c r="D42" i="2"/>
  <c r="D43" i="2"/>
  <c r="D44" i="2"/>
  <c r="D45" i="2"/>
  <c r="D46" i="2"/>
  <c r="D47" i="2"/>
  <c r="D38" i="2"/>
  <c r="H35" i="2"/>
  <c r="H36" i="2"/>
  <c r="H37" i="2"/>
  <c r="H38" i="2"/>
  <c r="H39" i="2"/>
  <c r="H40" i="2"/>
  <c r="H41" i="2"/>
  <c r="H42" i="2"/>
  <c r="H43" i="2"/>
  <c r="H44" i="2"/>
  <c r="H32" i="2"/>
  <c r="G38" i="2"/>
  <c r="G39" i="2"/>
  <c r="G40" i="2"/>
  <c r="G41" i="2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Q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C50" i="1"/>
  <c r="C51" i="1"/>
  <c r="C52" i="1"/>
  <c r="C53" i="1"/>
  <c r="C54" i="1"/>
  <c r="F54" i="1" s="1"/>
  <c r="C41" i="1"/>
  <c r="C42" i="1"/>
  <c r="C43" i="1"/>
  <c r="C44" i="1"/>
  <c r="C45" i="1"/>
  <c r="C46" i="1"/>
  <c r="C47" i="1"/>
  <c r="C48" i="1"/>
  <c r="C49" i="1"/>
  <c r="D52" i="2" l="1"/>
  <c r="L13" i="3"/>
  <c r="L20" i="3"/>
  <c r="L19" i="3"/>
  <c r="L18" i="3"/>
  <c r="L16" i="3"/>
  <c r="L14" i="3"/>
  <c r="L12" i="3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C38" i="2"/>
  <c r="C37" i="2"/>
  <c r="G31" i="2"/>
  <c r="G23" i="2"/>
  <c r="G24" i="2"/>
  <c r="G25" i="2"/>
  <c r="G26" i="2"/>
  <c r="G27" i="2"/>
  <c r="G28" i="2"/>
  <c r="G29" i="2"/>
  <c r="G30" i="2"/>
  <c r="G32" i="2"/>
  <c r="G33" i="2"/>
  <c r="G34" i="2"/>
  <c r="G35" i="2"/>
  <c r="G36" i="2"/>
  <c r="G37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C33" i="2"/>
  <c r="C34" i="2"/>
  <c r="C35" i="2"/>
  <c r="C36" i="2"/>
  <c r="C24" i="2"/>
  <c r="C25" i="2"/>
  <c r="C26" i="2"/>
  <c r="C27" i="2"/>
  <c r="C28" i="2"/>
  <c r="C29" i="2"/>
  <c r="C30" i="2"/>
  <c r="C31" i="2"/>
  <c r="C32" i="2"/>
  <c r="C23" i="2"/>
  <c r="G22" i="2"/>
  <c r="C22" i="2"/>
  <c r="G21" i="2"/>
  <c r="C21" i="2"/>
  <c r="X20" i="2"/>
  <c r="U20" i="2"/>
  <c r="R20" i="2"/>
  <c r="O20" i="2"/>
  <c r="K20" i="2"/>
  <c r="G20" i="2"/>
  <c r="C20" i="2"/>
  <c r="X19" i="2"/>
  <c r="U19" i="2"/>
  <c r="R19" i="2"/>
  <c r="O19" i="2"/>
  <c r="K19" i="2"/>
  <c r="G19" i="2"/>
  <c r="C19" i="2"/>
  <c r="X18" i="2"/>
  <c r="U18" i="2"/>
  <c r="R18" i="2"/>
  <c r="O18" i="2"/>
  <c r="K18" i="2"/>
  <c r="G18" i="2"/>
  <c r="C18" i="2"/>
  <c r="X17" i="2"/>
  <c r="U17" i="2"/>
  <c r="R17" i="2"/>
  <c r="O17" i="2"/>
  <c r="K17" i="2"/>
  <c r="G17" i="2"/>
  <c r="C17" i="2"/>
  <c r="X16" i="2"/>
  <c r="U16" i="2"/>
  <c r="O16" i="2"/>
  <c r="K16" i="2"/>
  <c r="G16" i="2"/>
  <c r="C16" i="2"/>
  <c r="X15" i="2"/>
  <c r="U15" i="2"/>
  <c r="O15" i="2"/>
  <c r="K15" i="2"/>
  <c r="G15" i="2"/>
  <c r="C15" i="2"/>
  <c r="X14" i="2"/>
  <c r="U14" i="2"/>
  <c r="O14" i="2"/>
  <c r="K14" i="2"/>
  <c r="G14" i="2"/>
  <c r="C14" i="2"/>
  <c r="X13" i="2"/>
  <c r="U13" i="2"/>
  <c r="O13" i="2"/>
  <c r="K13" i="2"/>
  <c r="G13" i="2"/>
  <c r="C13" i="2"/>
  <c r="X12" i="2"/>
  <c r="U12" i="2"/>
  <c r="O12" i="2"/>
  <c r="K12" i="2"/>
  <c r="G12" i="2"/>
  <c r="C12" i="2"/>
  <c r="X11" i="2"/>
  <c r="U11" i="2"/>
  <c r="O11" i="2"/>
  <c r="K11" i="2"/>
  <c r="G11" i="2"/>
  <c r="C11" i="2"/>
  <c r="X10" i="2"/>
  <c r="U10" i="2"/>
  <c r="O10" i="2"/>
  <c r="K10" i="2"/>
  <c r="G10" i="2"/>
  <c r="C10" i="2"/>
  <c r="X9" i="2"/>
  <c r="U9" i="2"/>
  <c r="O9" i="2"/>
  <c r="K9" i="2"/>
  <c r="G9" i="2"/>
  <c r="C9" i="2"/>
  <c r="X8" i="2"/>
  <c r="U8" i="2"/>
  <c r="O8" i="2"/>
  <c r="K8" i="2"/>
  <c r="G8" i="2"/>
  <c r="C8" i="2"/>
  <c r="U7" i="2"/>
  <c r="O7" i="2"/>
  <c r="K7" i="2"/>
  <c r="G7" i="2"/>
  <c r="C7" i="2"/>
  <c r="U6" i="2"/>
  <c r="O6" i="2"/>
  <c r="K6" i="2"/>
  <c r="G6" i="2"/>
  <c r="C6" i="2"/>
  <c r="U5" i="2"/>
  <c r="O5" i="2"/>
  <c r="K5" i="2"/>
  <c r="G5" i="2"/>
  <c r="C5" i="2"/>
  <c r="U4" i="2"/>
  <c r="O4" i="2"/>
  <c r="K4" i="2"/>
  <c r="G4" i="2"/>
  <c r="C4" i="2"/>
  <c r="R23" i="1" l="1"/>
  <c r="R24" i="1"/>
  <c r="R25" i="1"/>
  <c r="R26" i="1"/>
  <c r="R27" i="1"/>
  <c r="R28" i="1"/>
  <c r="R29" i="1"/>
  <c r="R30" i="1"/>
  <c r="R31" i="1"/>
  <c r="R36" i="1"/>
  <c r="O24" i="1"/>
  <c r="F19" i="1"/>
  <c r="O32" i="1"/>
  <c r="O33" i="1"/>
  <c r="O34" i="1"/>
  <c r="O35" i="1"/>
  <c r="O36" i="1"/>
  <c r="O37" i="1"/>
  <c r="O38" i="1"/>
  <c r="O39" i="1"/>
  <c r="O40" i="1"/>
  <c r="Q35" i="1"/>
  <c r="R35" i="1" s="1"/>
  <c r="Q36" i="1"/>
  <c r="Q37" i="1"/>
  <c r="R37" i="1" s="1"/>
  <c r="Q38" i="1"/>
  <c r="R38" i="1" s="1"/>
  <c r="Q39" i="1"/>
  <c r="R39" i="1" s="1"/>
  <c r="R40" i="1"/>
  <c r="Q32" i="1"/>
  <c r="R32" i="1" s="1"/>
  <c r="Q33" i="1"/>
  <c r="R33" i="1" s="1"/>
  <c r="Q34" i="1"/>
  <c r="R34" i="1" s="1"/>
  <c r="Q31" i="1"/>
  <c r="L32" i="1"/>
  <c r="L33" i="1"/>
  <c r="L34" i="1"/>
  <c r="L35" i="1"/>
  <c r="L36" i="1"/>
  <c r="L37" i="1"/>
  <c r="L38" i="1"/>
  <c r="L39" i="1"/>
  <c r="K32" i="1"/>
  <c r="K33" i="1"/>
  <c r="K34" i="1"/>
  <c r="K35" i="1"/>
  <c r="K36" i="1"/>
  <c r="K37" i="1"/>
  <c r="K38" i="1"/>
  <c r="K39" i="1"/>
  <c r="K40" i="1"/>
  <c r="L40" i="1" s="1"/>
  <c r="I32" i="1"/>
  <c r="I33" i="1"/>
  <c r="I34" i="1"/>
  <c r="I35" i="1"/>
  <c r="I36" i="1"/>
  <c r="I37" i="1"/>
  <c r="I38" i="1"/>
  <c r="I39" i="1"/>
  <c r="I40" i="1"/>
  <c r="F32" i="1"/>
  <c r="F33" i="1"/>
  <c r="F34" i="1"/>
  <c r="F35" i="1"/>
  <c r="F36" i="1"/>
  <c r="F37" i="1"/>
  <c r="F38" i="1"/>
  <c r="F39" i="1"/>
  <c r="E32" i="1"/>
  <c r="E33" i="1"/>
  <c r="E34" i="1"/>
  <c r="E35" i="1"/>
  <c r="E36" i="1"/>
  <c r="E37" i="1"/>
  <c r="E38" i="1"/>
  <c r="E39" i="1"/>
  <c r="E40" i="1"/>
  <c r="C32" i="1"/>
  <c r="C33" i="1"/>
  <c r="C34" i="1"/>
  <c r="C35" i="1"/>
  <c r="C36" i="1"/>
  <c r="C37" i="1"/>
  <c r="C38" i="1"/>
  <c r="C39" i="1"/>
  <c r="C40" i="1"/>
  <c r="W32" i="1"/>
  <c r="W33" i="1"/>
  <c r="W34" i="1"/>
  <c r="W35" i="1"/>
  <c r="W36" i="1"/>
  <c r="W37" i="1"/>
  <c r="W38" i="1"/>
  <c r="W39" i="1"/>
  <c r="W40" i="1"/>
  <c r="F40" i="1" l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R16" i="1"/>
  <c r="R22" i="1"/>
  <c r="Q16" i="1"/>
  <c r="Q17" i="1"/>
  <c r="R17" i="1" s="1"/>
  <c r="Q18" i="1"/>
  <c r="R18" i="1" s="1"/>
  <c r="Q19" i="1"/>
  <c r="R19" i="1" s="1"/>
  <c r="Q20" i="1"/>
  <c r="R20" i="1" s="1"/>
  <c r="Q21" i="1"/>
  <c r="R21" i="1" s="1"/>
  <c r="Q22" i="1"/>
  <c r="Q23" i="1"/>
  <c r="Q24" i="1"/>
  <c r="Q25" i="1"/>
  <c r="Q26" i="1"/>
  <c r="Q27" i="1"/>
  <c r="Q28" i="1"/>
  <c r="Q29" i="1"/>
  <c r="Q30" i="1"/>
  <c r="O16" i="1"/>
  <c r="O17" i="1"/>
  <c r="O18" i="1"/>
  <c r="O19" i="1"/>
  <c r="O20" i="1"/>
  <c r="O21" i="1"/>
  <c r="O22" i="1"/>
  <c r="O23" i="1"/>
  <c r="O25" i="1"/>
  <c r="O26" i="1"/>
  <c r="O27" i="1"/>
  <c r="O28" i="1"/>
  <c r="O29" i="1"/>
  <c r="O30" i="1"/>
  <c r="O31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F16" i="1"/>
  <c r="F17" i="1"/>
  <c r="F18" i="1"/>
  <c r="F22" i="1"/>
  <c r="F23" i="1"/>
  <c r="F24" i="1"/>
  <c r="F25" i="1"/>
  <c r="F26" i="1"/>
  <c r="F27" i="1"/>
  <c r="F28" i="1"/>
  <c r="F29" i="1"/>
  <c r="F30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15" i="1"/>
  <c r="C16" i="1"/>
  <c r="C17" i="1"/>
  <c r="C18" i="1"/>
  <c r="C19" i="1"/>
  <c r="C20" i="1"/>
  <c r="F20" i="1" s="1"/>
  <c r="C21" i="1"/>
  <c r="C23" i="1"/>
  <c r="C24" i="1"/>
  <c r="C25" i="1"/>
  <c r="C26" i="1"/>
  <c r="C27" i="1"/>
  <c r="C28" i="1"/>
  <c r="C29" i="1"/>
  <c r="C30" i="1"/>
  <c r="C31" i="1"/>
  <c r="F31" i="1" s="1"/>
  <c r="F21" i="1" l="1"/>
  <c r="L31" i="1"/>
  <c r="W16" i="1" l="1"/>
  <c r="W15" i="1"/>
  <c r="Q15" i="1"/>
  <c r="R15" i="1" s="1"/>
  <c r="O15" i="1"/>
  <c r="K15" i="1"/>
  <c r="I15" i="1"/>
  <c r="L15" i="1" s="1"/>
  <c r="C15" i="1"/>
  <c r="F15" i="1" s="1"/>
  <c r="W14" i="1"/>
  <c r="Q14" i="1"/>
  <c r="O14" i="1"/>
  <c r="R14" i="1" s="1"/>
  <c r="K14" i="1"/>
  <c r="I14" i="1"/>
  <c r="L14" i="1" s="1"/>
  <c r="E14" i="1"/>
  <c r="F14" i="1" s="1"/>
  <c r="C14" i="1"/>
  <c r="W13" i="1"/>
  <c r="Q13" i="1"/>
  <c r="O13" i="1"/>
  <c r="R13" i="1" s="1"/>
  <c r="K13" i="1"/>
  <c r="I13" i="1"/>
  <c r="L13" i="1" s="1"/>
  <c r="E13" i="1"/>
  <c r="C13" i="1"/>
  <c r="F13" i="1" s="1"/>
  <c r="W12" i="1"/>
  <c r="Q12" i="1"/>
  <c r="O12" i="1"/>
  <c r="R12" i="1" s="1"/>
  <c r="L12" i="1"/>
  <c r="K12" i="1"/>
  <c r="I12" i="1"/>
  <c r="E12" i="1"/>
  <c r="C12" i="1"/>
  <c r="F12" i="1" s="1"/>
  <c r="W11" i="1"/>
  <c r="Q11" i="1"/>
  <c r="R11" i="1" s="1"/>
  <c r="O11" i="1"/>
  <c r="K11" i="1"/>
  <c r="I11" i="1"/>
  <c r="L11" i="1" s="1"/>
  <c r="E11" i="1"/>
  <c r="C11" i="1"/>
  <c r="F11" i="1" s="1"/>
  <c r="W10" i="1"/>
  <c r="Q10" i="1"/>
  <c r="O10" i="1"/>
  <c r="R10" i="1" s="1"/>
  <c r="K10" i="1"/>
  <c r="I10" i="1"/>
  <c r="L10" i="1" s="1"/>
  <c r="E10" i="1"/>
  <c r="F10" i="1" s="1"/>
  <c r="C10" i="1"/>
  <c r="W9" i="1"/>
  <c r="Q9" i="1"/>
  <c r="O9" i="1"/>
  <c r="R9" i="1" s="1"/>
  <c r="K9" i="1"/>
  <c r="I9" i="1"/>
  <c r="L9" i="1" s="1"/>
  <c r="E9" i="1"/>
  <c r="C9" i="1"/>
  <c r="F9" i="1" s="1"/>
  <c r="W8" i="1"/>
  <c r="K8" i="1"/>
  <c r="I8" i="1"/>
  <c r="L8" i="1" s="1"/>
  <c r="F8" i="1"/>
  <c r="E8" i="1"/>
  <c r="C8" i="1"/>
  <c r="W7" i="1"/>
  <c r="K7" i="1"/>
  <c r="I7" i="1"/>
  <c r="L7" i="1" s="1"/>
  <c r="E7" i="1"/>
  <c r="F7" i="1" s="1"/>
  <c r="C7" i="1"/>
  <c r="W6" i="1"/>
  <c r="K6" i="1"/>
  <c r="I6" i="1"/>
  <c r="L6" i="1" s="1"/>
  <c r="E6" i="1"/>
  <c r="C6" i="1"/>
  <c r="F6" i="1" s="1"/>
  <c r="W5" i="1"/>
  <c r="K5" i="1"/>
  <c r="I5" i="1"/>
  <c r="L5" i="1" s="1"/>
  <c r="E5" i="1"/>
  <c r="C5" i="1"/>
  <c r="F5" i="1" s="1"/>
  <c r="W4" i="1"/>
  <c r="K4" i="1"/>
  <c r="I4" i="1"/>
  <c r="L4" i="1" s="1"/>
  <c r="E4" i="1"/>
  <c r="C4" i="1"/>
  <c r="F4" i="1" s="1"/>
  <c r="K3" i="1"/>
  <c r="L3" i="1" s="1"/>
  <c r="I3" i="1"/>
  <c r="E3" i="1"/>
  <c r="C3" i="1"/>
  <c r="F3" i="1" s="1"/>
</calcChain>
</file>

<file path=xl/sharedStrings.xml><?xml version="1.0" encoding="utf-8"?>
<sst xmlns="http://schemas.openxmlformats.org/spreadsheetml/2006/main" count="83" uniqueCount="49">
  <si>
    <t>Date</t>
  </si>
  <si>
    <t>Dunkin Blast</t>
  </si>
  <si>
    <t>Total</t>
  </si>
  <si>
    <t>CLC Blast</t>
  </si>
  <si>
    <t>BMC</t>
  </si>
  <si>
    <t>Deep-1</t>
  </si>
  <si>
    <t>deep-2</t>
  </si>
  <si>
    <t>rack</t>
  </si>
  <si>
    <t>Deep-total</t>
  </si>
  <si>
    <t>13/4/2026</t>
  </si>
  <si>
    <t>14/4/2026</t>
  </si>
  <si>
    <t xml:space="preserve">From </t>
  </si>
  <si>
    <t>To</t>
  </si>
  <si>
    <t>Running Hrs.</t>
  </si>
  <si>
    <t>Running hrs of All the Cold storage units</t>
  </si>
  <si>
    <t>BMC- Blast</t>
  </si>
  <si>
    <t xml:space="preserve">CLC-Blast </t>
  </si>
  <si>
    <t>Dunkin - Blast</t>
  </si>
  <si>
    <t>Paneer Tikka - Old CK - Blast</t>
  </si>
  <si>
    <t>New Ck GF- Blast</t>
  </si>
  <si>
    <t>New CK 1st F - Blast</t>
  </si>
  <si>
    <t>15/4/2026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</si>
  <si>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</si>
  <si>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</si>
  <si>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</si>
  <si>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</si>
  <si>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</si>
  <si>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</si>
  <si>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</si>
  <si>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</si>
  <si>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</si>
  <si>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</si>
  <si>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</si>
  <si>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</si>
  <si>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</si>
  <si>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</si>
  <si>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</si>
  <si>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Old CK New Blast -2</t>
  </si>
  <si>
    <t>KWH</t>
  </si>
  <si>
    <t>Compressor-1</t>
  </si>
  <si>
    <t>Compressor-2</t>
  </si>
  <si>
    <t>Compressor-3</t>
  </si>
  <si>
    <t>Compressor-4</t>
  </si>
  <si>
    <t>Compressor-5</t>
  </si>
  <si>
    <t>Saving in hrs</t>
  </si>
  <si>
    <t>Stop time</t>
  </si>
  <si>
    <t>Start time</t>
  </si>
  <si>
    <t>Savings</t>
  </si>
  <si>
    <t>Value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</si>
</sst>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m/d/yy\ h:mm\ AM/PM;@"/>
    <numFmt numFmtId="165" formatCode="h:mm;@"/>
    <numFmt numFmtId="166" formatCode="mm/dd/yy;@"/>
    <numFmt numFmtId="167" formatCode="[$-10409]h\.mm\.ss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2" tint="-0.749992370372631"/>
      <name val="Times New Roman"/>
      <family val="1"/>
    </font>
    <font>
      <sz val="11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1" fillId="5" borderId="3" xfId="0" applyFont="1" applyFill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1" fillId="6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7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abSelected="1" workbookViewId="0">
      <pane xSplit="1" topLeftCell="B1" activePane="topRight" state="frozen"/>
      <selection activeCell="A12" sqref="A12"/>
      <selection pane="topRight" activeCell="Y9" sqref="Y9"/>
    </sheetView>
  </sheetViews>
  <sheetFormatPr defaultRowHeight="14.5" x14ac:dyDescent="0.35"/>
  <cols>
    <col min="1" max="1" width="10.453125" style="8" bestFit="1" customWidth="1"/>
    <col min="22" max="22" width="9.90625" customWidth="1"/>
  </cols>
  <sheetData>
    <row r="1" spans="1:26" x14ac:dyDescent="0.35">
      <c r="G1">
        <f>SUM(G3:G56)</f>
        <v>10575.5</v>
      </c>
      <c r="M1">
        <f>SUM(M3:M56)</f>
        <v>8346.8999999999305</v>
      </c>
      <c r="S1">
        <f>SUM(S9:S56)</f>
        <v>38115.5</v>
      </c>
      <c r="X1">
        <f>SUM(X4:X57)</f>
        <v>9515.9000000000233</v>
      </c>
      <c r="Z1">
        <f>SUM(G1:X1)*7.44</f>
        <v>495160.27199999971</v>
      </c>
    </row>
    <row r="2" spans="1:26" x14ac:dyDescent="0.35">
      <c r="A2" s="7" t="s">
        <v>0</v>
      </c>
      <c r="B2" s="25" t="s">
        <v>1</v>
      </c>
      <c r="C2" s="25"/>
      <c r="D2" s="25"/>
      <c r="E2" s="25"/>
      <c r="F2" s="1" t="s">
        <v>2</v>
      </c>
      <c r="G2" s="2" t="s">
        <v>47</v>
      </c>
      <c r="H2" s="25" t="s">
        <v>3</v>
      </c>
      <c r="I2" s="25"/>
      <c r="J2" s="25"/>
      <c r="K2" s="25"/>
      <c r="L2" s="1" t="s">
        <v>2</v>
      </c>
      <c r="M2" s="2" t="s">
        <v>47</v>
      </c>
      <c r="N2" s="25" t="s">
        <v>4</v>
      </c>
      <c r="O2" s="25"/>
      <c r="P2" s="25"/>
      <c r="Q2" s="25"/>
      <c r="R2" s="2" t="s">
        <v>2</v>
      </c>
      <c r="S2" s="2" t="s">
        <v>47</v>
      </c>
      <c r="T2" s="1" t="s">
        <v>5</v>
      </c>
      <c r="U2" s="1" t="s">
        <v>6</v>
      </c>
      <c r="V2" s="1" t="s">
        <v>7</v>
      </c>
      <c r="W2" s="2" t="s">
        <v>8</v>
      </c>
      <c r="X2" s="2" t="s">
        <v>47</v>
      </c>
      <c r="Z2" t="s">
        <v>48</v>
      </c>
    </row>
    <row r="3" spans="1:26" x14ac:dyDescent="0.35">
      <c r="A3" s="7">
        <v>46026</v>
      </c>
      <c r="B3" s="1">
        <v>367509.2</v>
      </c>
      <c r="C3" s="1">
        <f t="shared" ref="C3:C57" si="0">B4-B3</f>
        <v>586.59999999997672</v>
      </c>
      <c r="D3" s="1">
        <v>464009.3</v>
      </c>
      <c r="E3" s="1">
        <f t="shared" ref="E3:E14" si="1">D4-D3</f>
        <v>552.40000000002328</v>
      </c>
      <c r="F3" s="2">
        <f t="shared" ref="F3:F57" si="2">C3+E3</f>
        <v>1139</v>
      </c>
      <c r="G3" s="2">
        <f>1250-F3</f>
        <v>111</v>
      </c>
      <c r="H3" s="1">
        <v>15932.1</v>
      </c>
      <c r="I3" s="1">
        <f t="shared" ref="I3:I58" si="3">H4-H3</f>
        <v>366.19999999999891</v>
      </c>
      <c r="J3" s="1">
        <v>610143.6</v>
      </c>
      <c r="K3" s="1">
        <f t="shared" ref="K3:K58" si="4">J4-J3</f>
        <v>1220.0999999999767</v>
      </c>
      <c r="L3" s="2">
        <f t="shared" ref="L3:L58" si="5">I3+K3</f>
        <v>1586.2999999999756</v>
      </c>
      <c r="M3" s="2">
        <f>1450-L3</f>
        <v>-136.29999999997563</v>
      </c>
      <c r="N3" s="1"/>
      <c r="O3" s="1"/>
      <c r="P3" s="1"/>
      <c r="Q3" s="1"/>
      <c r="R3" s="2"/>
      <c r="S3" s="2"/>
      <c r="T3" s="1">
        <v>332392.59999999998</v>
      </c>
      <c r="U3" s="1">
        <v>224593.7</v>
      </c>
      <c r="V3" s="1">
        <v>1295390</v>
      </c>
      <c r="W3" s="2"/>
    </row>
    <row r="4" spans="1:26" x14ac:dyDescent="0.35">
      <c r="A4" s="7">
        <v>46057</v>
      </c>
      <c r="B4" s="1">
        <v>368095.8</v>
      </c>
      <c r="C4" s="1">
        <f t="shared" si="0"/>
        <v>590.40000000002328</v>
      </c>
      <c r="D4" s="1">
        <v>464561.7</v>
      </c>
      <c r="E4" s="1">
        <f t="shared" si="1"/>
        <v>720.20000000001164</v>
      </c>
      <c r="F4" s="2">
        <f t="shared" si="2"/>
        <v>1310.6000000000349</v>
      </c>
      <c r="G4" s="2">
        <f t="shared" ref="G4:G58" si="6">1250-F4</f>
        <v>-60.600000000034925</v>
      </c>
      <c r="H4" s="1">
        <v>16298.3</v>
      </c>
      <c r="I4" s="1">
        <f t="shared" si="3"/>
        <v>352.90000000000146</v>
      </c>
      <c r="J4" s="1">
        <v>611363.69999999995</v>
      </c>
      <c r="K4" s="1">
        <f t="shared" si="4"/>
        <v>1098.5</v>
      </c>
      <c r="L4" s="2">
        <f t="shared" si="5"/>
        <v>1451.4000000000015</v>
      </c>
      <c r="M4" s="2">
        <f t="shared" ref="M4:M58" si="7">1450-L4</f>
        <v>-1.4000000000014552</v>
      </c>
      <c r="N4" s="1"/>
      <c r="O4" s="1"/>
      <c r="P4" s="1"/>
      <c r="Q4" s="1"/>
      <c r="R4" s="2"/>
      <c r="S4" s="2"/>
      <c r="T4" s="1">
        <v>332772.3</v>
      </c>
      <c r="U4" s="1">
        <v>224826.3</v>
      </c>
      <c r="V4" s="1">
        <v>1296783</v>
      </c>
      <c r="W4" s="2">
        <f>(T4-T3)+(U4-U3)+(V4-V3)</f>
        <v>2005.2999999999884</v>
      </c>
      <c r="X4">
        <f>2200-W4</f>
        <v>194.70000000001164</v>
      </c>
    </row>
    <row r="5" spans="1:26" x14ac:dyDescent="0.35">
      <c r="A5" s="7">
        <v>46085</v>
      </c>
      <c r="B5" s="1">
        <v>368686.2</v>
      </c>
      <c r="C5" s="1">
        <f t="shared" si="0"/>
        <v>592.89999999996508</v>
      </c>
      <c r="D5" s="1">
        <v>465281.9</v>
      </c>
      <c r="E5" s="1">
        <f t="shared" si="1"/>
        <v>759.5</v>
      </c>
      <c r="F5" s="2">
        <f t="shared" si="2"/>
        <v>1352.3999999999651</v>
      </c>
      <c r="G5" s="2">
        <f t="shared" si="6"/>
        <v>-102.39999999996508</v>
      </c>
      <c r="H5" s="1">
        <v>16651.2</v>
      </c>
      <c r="I5" s="1">
        <f t="shared" si="3"/>
        <v>343.29999999999927</v>
      </c>
      <c r="J5" s="1">
        <v>612462.19999999995</v>
      </c>
      <c r="K5" s="1">
        <f t="shared" si="4"/>
        <v>777.20000000006985</v>
      </c>
      <c r="L5" s="2">
        <f t="shared" si="5"/>
        <v>1120.5000000000691</v>
      </c>
      <c r="M5" s="2">
        <f t="shared" si="7"/>
        <v>329.49999999993088</v>
      </c>
      <c r="N5" s="1"/>
      <c r="O5" s="1"/>
      <c r="P5" s="1"/>
      <c r="Q5" s="1"/>
      <c r="R5" s="2"/>
      <c r="S5" s="2"/>
      <c r="T5" s="1">
        <v>333149.5</v>
      </c>
      <c r="U5" s="1">
        <v>225057.7</v>
      </c>
      <c r="V5" s="1">
        <v>1298175</v>
      </c>
      <c r="W5" s="2">
        <f t="shared" ref="W5:W57" si="8">(T5-T4)+(U5-U4)+(V5-V4)</f>
        <v>2000.6000000000349</v>
      </c>
      <c r="X5">
        <f t="shared" ref="X5:X57" si="9">2200-W5</f>
        <v>199.39999999996508</v>
      </c>
    </row>
    <row r="6" spans="1:26" x14ac:dyDescent="0.35">
      <c r="A6" s="7">
        <v>46116</v>
      </c>
      <c r="B6" s="1">
        <v>369279.1</v>
      </c>
      <c r="C6" s="1">
        <f t="shared" si="0"/>
        <v>593.60000000003492</v>
      </c>
      <c r="D6" s="1">
        <v>466041.4</v>
      </c>
      <c r="E6" s="1">
        <f t="shared" si="1"/>
        <v>592.59999999997672</v>
      </c>
      <c r="F6" s="2">
        <f t="shared" si="2"/>
        <v>1186.2000000000116</v>
      </c>
      <c r="G6" s="2">
        <f t="shared" si="6"/>
        <v>63.799999999988358</v>
      </c>
      <c r="H6" s="1">
        <v>16994.5</v>
      </c>
      <c r="I6" s="1">
        <f t="shared" si="3"/>
        <v>227.70000000000073</v>
      </c>
      <c r="J6" s="1">
        <v>613239.4</v>
      </c>
      <c r="K6" s="1">
        <f t="shared" si="4"/>
        <v>553.09999999997672</v>
      </c>
      <c r="L6" s="2">
        <f t="shared" si="5"/>
        <v>780.79999999997744</v>
      </c>
      <c r="M6" s="2">
        <f t="shared" si="7"/>
        <v>669.20000000002256</v>
      </c>
      <c r="N6" s="1"/>
      <c r="O6" s="1"/>
      <c r="P6" s="1"/>
      <c r="Q6" s="1"/>
      <c r="R6" s="2"/>
      <c r="S6" s="2"/>
      <c r="T6" s="1">
        <v>333528</v>
      </c>
      <c r="U6" s="1">
        <v>225289.9</v>
      </c>
      <c r="V6" s="1">
        <v>1299578</v>
      </c>
      <c r="W6" s="2">
        <f t="shared" si="8"/>
        <v>2013.6999999999825</v>
      </c>
      <c r="X6">
        <f t="shared" si="9"/>
        <v>186.30000000001746</v>
      </c>
    </row>
    <row r="7" spans="1:26" x14ac:dyDescent="0.35">
      <c r="A7" s="7">
        <v>46146</v>
      </c>
      <c r="B7" s="1">
        <v>369872.7</v>
      </c>
      <c r="C7" s="1">
        <f t="shared" si="0"/>
        <v>592.59999999997672</v>
      </c>
      <c r="D7" s="1">
        <v>466634</v>
      </c>
      <c r="E7" s="1">
        <f t="shared" si="1"/>
        <v>684.70000000001164</v>
      </c>
      <c r="F7" s="2">
        <f t="shared" si="2"/>
        <v>1277.2999999999884</v>
      </c>
      <c r="G7" s="2">
        <f t="shared" si="6"/>
        <v>-27.299999999988358</v>
      </c>
      <c r="H7" s="1">
        <v>17222.2</v>
      </c>
      <c r="I7" s="1">
        <f t="shared" si="3"/>
        <v>307.59999999999854</v>
      </c>
      <c r="J7" s="1">
        <v>613792.5</v>
      </c>
      <c r="K7" s="1">
        <f t="shared" si="4"/>
        <v>1112.3000000000466</v>
      </c>
      <c r="L7" s="2">
        <f t="shared" si="5"/>
        <v>1419.9000000000451</v>
      </c>
      <c r="M7" s="2">
        <f t="shared" si="7"/>
        <v>30.099999999954889</v>
      </c>
      <c r="N7" s="1"/>
      <c r="O7" s="1"/>
      <c r="P7" s="1"/>
      <c r="Q7" s="1"/>
      <c r="R7" s="2"/>
      <c r="S7" s="2"/>
      <c r="T7" s="1">
        <v>333907.90000000002</v>
      </c>
      <c r="U7" s="1">
        <v>225523.4</v>
      </c>
      <c r="V7" s="1">
        <v>1300989</v>
      </c>
      <c r="W7" s="2">
        <f t="shared" si="8"/>
        <v>2024.4000000000233</v>
      </c>
      <c r="X7">
        <f t="shared" si="9"/>
        <v>175.59999999997672</v>
      </c>
    </row>
    <row r="8" spans="1:26" x14ac:dyDescent="0.35">
      <c r="A8" s="7">
        <v>46177</v>
      </c>
      <c r="B8" s="1">
        <v>370465.3</v>
      </c>
      <c r="C8" s="1">
        <f t="shared" si="0"/>
        <v>434.20000000001164</v>
      </c>
      <c r="D8" s="1">
        <v>467318.7</v>
      </c>
      <c r="E8" s="1">
        <f t="shared" si="1"/>
        <v>304.39999999996508</v>
      </c>
      <c r="F8" s="2">
        <f t="shared" si="2"/>
        <v>738.59999999997672</v>
      </c>
      <c r="G8" s="2">
        <f t="shared" si="6"/>
        <v>511.40000000002328</v>
      </c>
      <c r="H8" s="1">
        <v>17529.8</v>
      </c>
      <c r="I8" s="1">
        <f t="shared" si="3"/>
        <v>309.60000000000218</v>
      </c>
      <c r="J8" s="1">
        <v>614904.80000000005</v>
      </c>
      <c r="K8" s="1">
        <f t="shared" si="4"/>
        <v>1089</v>
      </c>
      <c r="L8" s="2">
        <f t="shared" si="5"/>
        <v>1398.6000000000022</v>
      </c>
      <c r="M8" s="2">
        <f t="shared" si="7"/>
        <v>51.399999999997817</v>
      </c>
      <c r="N8" s="1"/>
      <c r="O8" s="1"/>
      <c r="P8" s="1"/>
      <c r="Q8" s="1"/>
      <c r="R8" s="2"/>
      <c r="S8" s="2"/>
      <c r="T8" s="1">
        <v>334286.7</v>
      </c>
      <c r="U8" s="1">
        <v>225756</v>
      </c>
      <c r="V8" s="1">
        <v>1302358</v>
      </c>
      <c r="W8" s="2">
        <f t="shared" si="8"/>
        <v>1980.3999999999942</v>
      </c>
      <c r="X8">
        <f t="shared" si="9"/>
        <v>219.60000000000582</v>
      </c>
    </row>
    <row r="9" spans="1:26" x14ac:dyDescent="0.35">
      <c r="A9" s="7">
        <v>46207</v>
      </c>
      <c r="B9" s="1">
        <v>370899.5</v>
      </c>
      <c r="C9" s="1">
        <f t="shared" si="0"/>
        <v>406.29999999998836</v>
      </c>
      <c r="D9" s="1">
        <v>467623.1</v>
      </c>
      <c r="E9" s="1">
        <f t="shared" si="1"/>
        <v>555.40000000002328</v>
      </c>
      <c r="F9" s="2">
        <f t="shared" si="2"/>
        <v>961.70000000001164</v>
      </c>
      <c r="G9" s="2">
        <f t="shared" si="6"/>
        <v>288.29999999998836</v>
      </c>
      <c r="H9" s="1">
        <v>17839.400000000001</v>
      </c>
      <c r="I9" s="1">
        <f t="shared" si="3"/>
        <v>309</v>
      </c>
      <c r="J9" s="1">
        <v>615993.80000000005</v>
      </c>
      <c r="K9" s="1">
        <f t="shared" si="4"/>
        <v>1051.5</v>
      </c>
      <c r="L9" s="2">
        <f t="shared" si="5"/>
        <v>1360.5</v>
      </c>
      <c r="M9" s="2">
        <f t="shared" si="7"/>
        <v>89.5</v>
      </c>
      <c r="N9" s="1">
        <v>206145</v>
      </c>
      <c r="O9" s="1">
        <f t="shared" ref="O9:O58" si="10">N10-N9</f>
        <v>458.5</v>
      </c>
      <c r="P9" s="1">
        <v>290594</v>
      </c>
      <c r="Q9" s="1">
        <f t="shared" ref="Q9:Q30" si="11">P10-P9</f>
        <v>597.79999999998836</v>
      </c>
      <c r="R9" s="2">
        <f t="shared" ref="R9:R58" si="12">O9+Q9</f>
        <v>1056.2999999999884</v>
      </c>
      <c r="S9" s="2">
        <f>1250-Sheet1!R9</f>
        <v>193.70000000001164</v>
      </c>
      <c r="T9" s="1">
        <v>334666.09999999998</v>
      </c>
      <c r="U9" s="1">
        <v>225988.7</v>
      </c>
      <c r="V9" s="1">
        <v>1303732</v>
      </c>
      <c r="W9" s="2">
        <f t="shared" si="8"/>
        <v>1986.0999999999767</v>
      </c>
      <c r="X9">
        <f t="shared" si="9"/>
        <v>213.90000000002328</v>
      </c>
    </row>
    <row r="10" spans="1:26" x14ac:dyDescent="0.35">
      <c r="A10" s="7">
        <v>46238</v>
      </c>
      <c r="B10" s="1">
        <v>371305.8</v>
      </c>
      <c r="C10" s="1">
        <f t="shared" si="0"/>
        <v>569.60000000003492</v>
      </c>
      <c r="D10" s="1">
        <v>468178.5</v>
      </c>
      <c r="E10" s="1">
        <f t="shared" si="1"/>
        <v>612.09999999997672</v>
      </c>
      <c r="F10" s="2">
        <f t="shared" si="2"/>
        <v>1181.7000000000116</v>
      </c>
      <c r="G10" s="2">
        <f t="shared" si="6"/>
        <v>68.299999999988358</v>
      </c>
      <c r="H10" s="1">
        <v>18148.400000000001</v>
      </c>
      <c r="I10" s="1">
        <f t="shared" si="3"/>
        <v>305.69999999999709</v>
      </c>
      <c r="J10" s="1">
        <v>617045.30000000005</v>
      </c>
      <c r="K10" s="1">
        <f t="shared" si="4"/>
        <v>837.19999999995343</v>
      </c>
      <c r="L10" s="2">
        <f t="shared" si="5"/>
        <v>1142.8999999999505</v>
      </c>
      <c r="M10" s="2">
        <f t="shared" si="7"/>
        <v>307.10000000004948</v>
      </c>
      <c r="N10" s="1">
        <v>206603.5</v>
      </c>
      <c r="O10" s="1">
        <f t="shared" si="10"/>
        <v>441.20000000001164</v>
      </c>
      <c r="P10" s="1">
        <v>291191.8</v>
      </c>
      <c r="Q10" s="1">
        <f t="shared" si="11"/>
        <v>605.29999999998836</v>
      </c>
      <c r="R10" s="2">
        <f t="shared" si="12"/>
        <v>1046.5</v>
      </c>
      <c r="S10" s="2">
        <f>1250-Sheet1!R10</f>
        <v>203.5</v>
      </c>
      <c r="T10" s="1">
        <v>335045.7</v>
      </c>
      <c r="U10" s="1">
        <v>226221.2</v>
      </c>
      <c r="V10" s="1">
        <v>1305103</v>
      </c>
      <c r="W10" s="2">
        <f t="shared" si="8"/>
        <v>1983.1000000000349</v>
      </c>
      <c r="X10">
        <f t="shared" si="9"/>
        <v>216.89999999996508</v>
      </c>
    </row>
    <row r="11" spans="1:26" x14ac:dyDescent="0.35">
      <c r="A11" s="7">
        <v>46269</v>
      </c>
      <c r="B11" s="1">
        <v>371875.4</v>
      </c>
      <c r="C11" s="1">
        <f t="shared" si="0"/>
        <v>591.29999999998836</v>
      </c>
      <c r="D11" s="1">
        <v>468790.6</v>
      </c>
      <c r="E11" s="1">
        <f t="shared" si="1"/>
        <v>777.20000000001164</v>
      </c>
      <c r="F11" s="2">
        <f t="shared" si="2"/>
        <v>1368.5</v>
      </c>
      <c r="G11" s="2">
        <f t="shared" si="6"/>
        <v>-118.5</v>
      </c>
      <c r="H11" s="1">
        <v>18454.099999999999</v>
      </c>
      <c r="I11" s="1">
        <f t="shared" si="3"/>
        <v>301.5</v>
      </c>
      <c r="J11" s="1">
        <v>617882.5</v>
      </c>
      <c r="K11" s="1">
        <f t="shared" si="4"/>
        <v>1072.0999999999767</v>
      </c>
      <c r="L11" s="2">
        <f t="shared" si="5"/>
        <v>1373.5999999999767</v>
      </c>
      <c r="M11" s="2">
        <f t="shared" si="7"/>
        <v>76.400000000023283</v>
      </c>
      <c r="N11" s="1">
        <v>207044.7</v>
      </c>
      <c r="O11" s="1">
        <f t="shared" si="10"/>
        <v>476.59999999997672</v>
      </c>
      <c r="P11" s="1">
        <v>291797.09999999998</v>
      </c>
      <c r="Q11" s="1">
        <f t="shared" si="11"/>
        <v>581.10000000003492</v>
      </c>
      <c r="R11" s="2">
        <f t="shared" si="12"/>
        <v>1057.7000000000116</v>
      </c>
      <c r="S11" s="2">
        <f>1250-Sheet1!R11</f>
        <v>192.29999999998836</v>
      </c>
      <c r="T11" s="1">
        <v>335418.90000000002</v>
      </c>
      <c r="U11" s="1">
        <v>226449.3</v>
      </c>
      <c r="V11" s="1">
        <v>1306447</v>
      </c>
      <c r="W11" s="2">
        <f t="shared" si="8"/>
        <v>1945.2999999999884</v>
      </c>
      <c r="X11">
        <f t="shared" si="9"/>
        <v>254.70000000001164</v>
      </c>
    </row>
    <row r="12" spans="1:26" x14ac:dyDescent="0.35">
      <c r="A12" s="7">
        <v>46299</v>
      </c>
      <c r="B12" s="1">
        <v>372466.7</v>
      </c>
      <c r="C12" s="1">
        <f t="shared" si="0"/>
        <v>591.79999999998836</v>
      </c>
      <c r="D12" s="1">
        <v>469567.8</v>
      </c>
      <c r="E12" s="1">
        <f t="shared" si="1"/>
        <v>746.29999999998836</v>
      </c>
      <c r="F12" s="2">
        <f t="shared" si="2"/>
        <v>1338.0999999999767</v>
      </c>
      <c r="G12" s="2">
        <f t="shared" si="6"/>
        <v>-88.099999999976717</v>
      </c>
      <c r="H12" s="1">
        <v>18755.599999999999</v>
      </c>
      <c r="I12" s="1">
        <f t="shared" si="3"/>
        <v>385.90000000000146</v>
      </c>
      <c r="J12" s="1">
        <v>618954.6</v>
      </c>
      <c r="K12" s="1">
        <f t="shared" si="4"/>
        <v>1148.3000000000466</v>
      </c>
      <c r="L12" s="2">
        <f t="shared" si="5"/>
        <v>1534.200000000048</v>
      </c>
      <c r="M12" s="2">
        <f t="shared" si="7"/>
        <v>-84.200000000048021</v>
      </c>
      <c r="N12" s="1">
        <v>207521.3</v>
      </c>
      <c r="O12" s="1">
        <f t="shared" si="10"/>
        <v>427</v>
      </c>
      <c r="P12" s="1">
        <v>292378.2</v>
      </c>
      <c r="Q12" s="1">
        <f t="shared" si="11"/>
        <v>400.09999999997672</v>
      </c>
      <c r="R12" s="2">
        <f t="shared" si="12"/>
        <v>827.09999999997672</v>
      </c>
      <c r="S12" s="2">
        <f>1250-Sheet1!R12</f>
        <v>422.90000000002328</v>
      </c>
      <c r="T12" s="1">
        <v>335798.5</v>
      </c>
      <c r="U12" s="1">
        <v>226681.1</v>
      </c>
      <c r="V12" s="1">
        <v>1307812</v>
      </c>
      <c r="W12" s="2">
        <f t="shared" si="8"/>
        <v>1976.3999999999942</v>
      </c>
      <c r="X12">
        <f t="shared" si="9"/>
        <v>223.60000000000582</v>
      </c>
    </row>
    <row r="13" spans="1:26" x14ac:dyDescent="0.35">
      <c r="A13" s="7">
        <v>46330</v>
      </c>
      <c r="B13" s="1">
        <v>373058.5</v>
      </c>
      <c r="C13" s="1">
        <f t="shared" si="0"/>
        <v>591.29999999998836</v>
      </c>
      <c r="D13" s="1">
        <v>470314.1</v>
      </c>
      <c r="E13" s="1">
        <f t="shared" si="1"/>
        <v>760</v>
      </c>
      <c r="F13" s="2">
        <f t="shared" si="2"/>
        <v>1351.2999999999884</v>
      </c>
      <c r="G13" s="2">
        <f t="shared" si="6"/>
        <v>-101.29999999998836</v>
      </c>
      <c r="H13" s="1">
        <v>19141.5</v>
      </c>
      <c r="I13" s="1">
        <f t="shared" si="3"/>
        <v>364.79999999999927</v>
      </c>
      <c r="J13" s="1">
        <v>620102.9</v>
      </c>
      <c r="K13" s="1">
        <f t="shared" si="4"/>
        <v>1028.2999999999302</v>
      </c>
      <c r="L13" s="2">
        <f t="shared" si="5"/>
        <v>1393.0999999999294</v>
      </c>
      <c r="M13" s="2">
        <f t="shared" si="7"/>
        <v>56.900000000070577</v>
      </c>
      <c r="N13" s="1">
        <v>207948.3</v>
      </c>
      <c r="O13" s="1">
        <f t="shared" si="10"/>
        <v>117.60000000000582</v>
      </c>
      <c r="P13" s="1">
        <v>292778.3</v>
      </c>
      <c r="Q13" s="1">
        <f t="shared" si="11"/>
        <v>17.900000000023283</v>
      </c>
      <c r="R13" s="2">
        <f t="shared" si="12"/>
        <v>135.5000000000291</v>
      </c>
      <c r="S13" s="2">
        <f>1250-Sheet1!R13</f>
        <v>1114.4999999999709</v>
      </c>
      <c r="T13" s="1">
        <v>336178.8</v>
      </c>
      <c r="U13" s="1">
        <v>226913.5</v>
      </c>
      <c r="V13" s="1">
        <v>1309205</v>
      </c>
      <c r="W13" s="2">
        <f t="shared" si="8"/>
        <v>2005.6999999999825</v>
      </c>
      <c r="X13">
        <f t="shared" si="9"/>
        <v>194.30000000001746</v>
      </c>
    </row>
    <row r="14" spans="1:26" x14ac:dyDescent="0.35">
      <c r="A14" s="7">
        <v>46360</v>
      </c>
      <c r="B14" s="1">
        <v>373649.8</v>
      </c>
      <c r="C14" s="1">
        <f t="shared" si="0"/>
        <v>590</v>
      </c>
      <c r="D14" s="1">
        <v>471074.1</v>
      </c>
      <c r="E14" s="1">
        <f t="shared" si="1"/>
        <v>500</v>
      </c>
      <c r="F14" s="2">
        <f t="shared" si="2"/>
        <v>1090</v>
      </c>
      <c r="G14" s="2">
        <f t="shared" si="6"/>
        <v>160</v>
      </c>
      <c r="H14" s="1">
        <v>19506.3</v>
      </c>
      <c r="I14" s="1">
        <f t="shared" si="3"/>
        <v>205.10000000000218</v>
      </c>
      <c r="J14" s="1">
        <v>621131.19999999995</v>
      </c>
      <c r="K14" s="1">
        <f t="shared" si="4"/>
        <v>421.40000000002328</v>
      </c>
      <c r="L14" s="2">
        <f t="shared" si="5"/>
        <v>626.50000000002547</v>
      </c>
      <c r="M14" s="2">
        <f t="shared" si="7"/>
        <v>823.49999999997453</v>
      </c>
      <c r="N14" s="1">
        <v>208065.9</v>
      </c>
      <c r="O14" s="1">
        <f t="shared" si="10"/>
        <v>14.200000000011642</v>
      </c>
      <c r="P14" s="1">
        <v>292796.2</v>
      </c>
      <c r="Q14" s="1">
        <f t="shared" si="11"/>
        <v>51.099999999976717</v>
      </c>
      <c r="R14" s="2">
        <f t="shared" si="12"/>
        <v>65.299999999988358</v>
      </c>
      <c r="S14" s="2">
        <f>1250-Sheet1!R14</f>
        <v>1184.7000000000116</v>
      </c>
      <c r="T14" s="1">
        <v>336559.3</v>
      </c>
      <c r="U14" s="1">
        <v>227146.3</v>
      </c>
      <c r="V14" s="1">
        <v>1310611</v>
      </c>
      <c r="W14" s="2">
        <f t="shared" si="8"/>
        <v>2019.2999999999884</v>
      </c>
      <c r="X14">
        <f t="shared" si="9"/>
        <v>180.70000000001164</v>
      </c>
    </row>
    <row r="15" spans="1:26" x14ac:dyDescent="0.35">
      <c r="A15" s="7" t="s">
        <v>9</v>
      </c>
      <c r="B15" s="1">
        <v>374239.8</v>
      </c>
      <c r="C15" s="1">
        <f t="shared" si="0"/>
        <v>590</v>
      </c>
      <c r="D15" s="1">
        <v>471574.1</v>
      </c>
      <c r="E15" s="1">
        <f>D16-D15</f>
        <v>758.40000000002328</v>
      </c>
      <c r="F15" s="2">
        <f t="shared" si="2"/>
        <v>1348.4000000000233</v>
      </c>
      <c r="G15" s="2">
        <f t="shared" si="6"/>
        <v>-98.400000000023283</v>
      </c>
      <c r="H15" s="1">
        <v>19711.400000000001</v>
      </c>
      <c r="I15" s="1">
        <f t="shared" si="3"/>
        <v>324.29999999999927</v>
      </c>
      <c r="J15" s="1">
        <v>621552.6</v>
      </c>
      <c r="K15" s="1">
        <f t="shared" si="4"/>
        <v>880.20000000006985</v>
      </c>
      <c r="L15" s="2">
        <f t="shared" si="5"/>
        <v>1204.5000000000691</v>
      </c>
      <c r="M15" s="2">
        <f t="shared" si="7"/>
        <v>245.49999999993088</v>
      </c>
      <c r="N15" s="1">
        <v>208080.1</v>
      </c>
      <c r="O15" s="1">
        <f t="shared" si="10"/>
        <v>463.69999999998254</v>
      </c>
      <c r="P15" s="1">
        <v>292847.3</v>
      </c>
      <c r="Q15" s="1">
        <f t="shared" si="11"/>
        <v>473.10000000003492</v>
      </c>
      <c r="R15" s="2">
        <f t="shared" si="12"/>
        <v>936.80000000001746</v>
      </c>
      <c r="S15" s="2">
        <f>1250-Sheet1!R15</f>
        <v>313.19999999998254</v>
      </c>
      <c r="T15" s="1">
        <v>336938.5</v>
      </c>
      <c r="U15" s="1">
        <v>227378.4</v>
      </c>
      <c r="V15" s="1">
        <v>1312003</v>
      </c>
      <c r="W15" s="2">
        <f t="shared" si="8"/>
        <v>2003.3000000000175</v>
      </c>
      <c r="X15">
        <f t="shared" si="9"/>
        <v>196.69999999998254</v>
      </c>
    </row>
    <row r="16" spans="1:26" x14ac:dyDescent="0.35">
      <c r="A16" s="7" t="s">
        <v>10</v>
      </c>
      <c r="B16" s="1">
        <v>374829.8</v>
      </c>
      <c r="C16" s="1">
        <f t="shared" si="0"/>
        <v>588.20000000001164</v>
      </c>
      <c r="D16" s="1">
        <v>472332.5</v>
      </c>
      <c r="E16" s="1">
        <f t="shared" ref="E16:E57" si="13">D17-D16</f>
        <v>704</v>
      </c>
      <c r="F16" s="2">
        <f t="shared" si="2"/>
        <v>1292.2000000000116</v>
      </c>
      <c r="G16" s="2">
        <f t="shared" si="6"/>
        <v>-42.200000000011642</v>
      </c>
      <c r="H16" s="1">
        <v>20035.7</v>
      </c>
      <c r="I16" s="1">
        <f t="shared" si="3"/>
        <v>357.20000000000073</v>
      </c>
      <c r="J16" s="1">
        <v>622432.80000000005</v>
      </c>
      <c r="K16" s="1">
        <f t="shared" si="4"/>
        <v>1124.1999999999534</v>
      </c>
      <c r="L16" s="2">
        <f t="shared" si="5"/>
        <v>1481.3999999999542</v>
      </c>
      <c r="M16" s="2">
        <f t="shared" si="7"/>
        <v>-31.399999999954161</v>
      </c>
      <c r="N16" s="1">
        <v>208543.8</v>
      </c>
      <c r="O16" s="1">
        <f t="shared" si="10"/>
        <v>397.60000000000582</v>
      </c>
      <c r="P16" s="1">
        <v>293320.40000000002</v>
      </c>
      <c r="Q16" s="1">
        <f t="shared" si="11"/>
        <v>391.39999999996508</v>
      </c>
      <c r="R16" s="2">
        <f t="shared" si="12"/>
        <v>788.9999999999709</v>
      </c>
      <c r="S16" s="2">
        <f>1250-Sheet1!R16</f>
        <v>461.0000000000291</v>
      </c>
      <c r="T16" s="1">
        <v>337314.7</v>
      </c>
      <c r="U16" s="1">
        <v>227610.5</v>
      </c>
      <c r="V16" s="1">
        <v>1313418</v>
      </c>
      <c r="W16" s="2">
        <f t="shared" si="8"/>
        <v>2023.3000000000175</v>
      </c>
      <c r="X16">
        <f t="shared" si="9"/>
        <v>176.69999999998254</v>
      </c>
    </row>
    <row r="17" spans="1:24" x14ac:dyDescent="0.35">
      <c r="A17" s="7" t="s">
        <v>21</v>
      </c>
      <c r="B17" s="1">
        <v>375418</v>
      </c>
      <c r="C17" s="1">
        <f t="shared" si="0"/>
        <v>490.90000000002328</v>
      </c>
      <c r="D17" s="1">
        <v>473036.5</v>
      </c>
      <c r="E17" s="1">
        <f t="shared" si="13"/>
        <v>327</v>
      </c>
      <c r="F17" s="2">
        <f t="shared" si="2"/>
        <v>817.90000000002328</v>
      </c>
      <c r="G17" s="2">
        <f t="shared" si="6"/>
        <v>432.09999999997672</v>
      </c>
      <c r="H17" s="1">
        <v>20392.900000000001</v>
      </c>
      <c r="I17" s="1">
        <f t="shared" si="3"/>
        <v>349.5</v>
      </c>
      <c r="J17" s="1">
        <v>623557</v>
      </c>
      <c r="K17" s="1">
        <f t="shared" si="4"/>
        <v>1026.4000000000233</v>
      </c>
      <c r="L17" s="2">
        <f t="shared" si="5"/>
        <v>1375.9000000000233</v>
      </c>
      <c r="M17" s="2">
        <f t="shared" si="7"/>
        <v>74.099999999976717</v>
      </c>
      <c r="N17" s="1">
        <v>208941.4</v>
      </c>
      <c r="O17" s="1">
        <f t="shared" si="10"/>
        <v>401.5</v>
      </c>
      <c r="P17" s="1">
        <v>293711.8</v>
      </c>
      <c r="Q17" s="1">
        <f t="shared" si="11"/>
        <v>496.70000000001164</v>
      </c>
      <c r="R17" s="2">
        <f t="shared" si="12"/>
        <v>898.20000000001164</v>
      </c>
      <c r="S17" s="2">
        <f>1250-Sheet1!R17</f>
        <v>351.79999999998836</v>
      </c>
      <c r="T17" s="1">
        <v>337694.1</v>
      </c>
      <c r="U17" s="1">
        <v>227841.9</v>
      </c>
      <c r="V17" s="1">
        <v>1314770</v>
      </c>
      <c r="W17" s="2">
        <f t="shared" si="8"/>
        <v>1962.7999999999593</v>
      </c>
      <c r="X17">
        <f t="shared" si="9"/>
        <v>237.20000000004075</v>
      </c>
    </row>
    <row r="18" spans="1:24" x14ac:dyDescent="0.35">
      <c r="A18" s="7" t="s">
        <v>22</v>
      </c>
      <c r="B18" s="1">
        <v>375908.9</v>
      </c>
      <c r="C18" s="1">
        <f t="shared" si="0"/>
        <v>220.69999999995343</v>
      </c>
      <c r="D18" s="1">
        <v>473363.5</v>
      </c>
      <c r="E18" s="1">
        <f t="shared" si="13"/>
        <v>10</v>
      </c>
      <c r="F18" s="2">
        <f t="shared" si="2"/>
        <v>230.69999999995343</v>
      </c>
      <c r="G18" s="2">
        <f t="shared" si="6"/>
        <v>1019.3000000000466</v>
      </c>
      <c r="H18" s="1">
        <v>20742.400000000001</v>
      </c>
      <c r="I18" s="1">
        <f t="shared" si="3"/>
        <v>352.5</v>
      </c>
      <c r="J18" s="1">
        <v>624583.4</v>
      </c>
      <c r="K18" s="1">
        <f t="shared" si="4"/>
        <v>1142.4000000000233</v>
      </c>
      <c r="L18" s="2">
        <f t="shared" si="5"/>
        <v>1494.9000000000233</v>
      </c>
      <c r="M18" s="2">
        <f t="shared" si="7"/>
        <v>-44.900000000023283</v>
      </c>
      <c r="N18" s="1">
        <v>209342.9</v>
      </c>
      <c r="O18" s="1">
        <f t="shared" si="10"/>
        <v>390.30000000001746</v>
      </c>
      <c r="P18" s="1">
        <v>294208.5</v>
      </c>
      <c r="Q18" s="1">
        <f t="shared" si="11"/>
        <v>452.59999999997672</v>
      </c>
      <c r="R18" s="2">
        <f t="shared" si="12"/>
        <v>842.89999999999418</v>
      </c>
      <c r="S18" s="2">
        <f>1250-Sheet1!R18</f>
        <v>407.10000000000582</v>
      </c>
      <c r="T18" s="1">
        <v>338073.9</v>
      </c>
      <c r="U18" s="1">
        <v>228073.3</v>
      </c>
      <c r="V18" s="1">
        <v>1316090</v>
      </c>
      <c r="W18" s="2">
        <f t="shared" si="8"/>
        <v>1931.2000000000407</v>
      </c>
      <c r="X18">
        <f t="shared" si="9"/>
        <v>268.79999999995925</v>
      </c>
    </row>
    <row r="19" spans="1:24" x14ac:dyDescent="0.35">
      <c r="A19" s="7" t="s">
        <v>23</v>
      </c>
      <c r="B19" s="1">
        <v>376129.6</v>
      </c>
      <c r="C19" s="1">
        <f t="shared" si="0"/>
        <v>0</v>
      </c>
      <c r="D19" s="1">
        <v>473373.5</v>
      </c>
      <c r="E19" s="1">
        <f t="shared" si="13"/>
        <v>0</v>
      </c>
      <c r="F19" s="2">
        <f t="shared" si="2"/>
        <v>0</v>
      </c>
      <c r="G19" s="2">
        <f t="shared" si="6"/>
        <v>1250</v>
      </c>
      <c r="H19" s="1">
        <v>21094.9</v>
      </c>
      <c r="I19" s="1">
        <f t="shared" si="3"/>
        <v>344.19999999999709</v>
      </c>
      <c r="J19" s="1">
        <v>625725.80000000005</v>
      </c>
      <c r="K19" s="1">
        <f t="shared" si="4"/>
        <v>1113.7999999999302</v>
      </c>
      <c r="L19" s="2">
        <f t="shared" si="5"/>
        <v>1457.9999999999272</v>
      </c>
      <c r="M19" s="2">
        <f t="shared" si="7"/>
        <v>-7.9999999999272404</v>
      </c>
      <c r="N19" s="1">
        <v>209733.2</v>
      </c>
      <c r="O19" s="1">
        <f t="shared" si="10"/>
        <v>426.69999999998254</v>
      </c>
      <c r="P19" s="1">
        <v>294661.09999999998</v>
      </c>
      <c r="Q19" s="1">
        <f t="shared" si="11"/>
        <v>529.70000000001164</v>
      </c>
      <c r="R19" s="2">
        <f t="shared" si="12"/>
        <v>956.39999999999418</v>
      </c>
      <c r="S19" s="2">
        <f>1250-Sheet1!R19</f>
        <v>293.60000000000582</v>
      </c>
      <c r="T19" s="1">
        <v>338468.3</v>
      </c>
      <c r="U19" s="1">
        <v>228304.4</v>
      </c>
      <c r="V19" s="1">
        <v>1317558</v>
      </c>
      <c r="W19" s="2">
        <f t="shared" si="8"/>
        <v>2093.4999999999709</v>
      </c>
      <c r="X19">
        <f t="shared" si="9"/>
        <v>106.5000000000291</v>
      </c>
    </row>
    <row r="20" spans="1:24" x14ac:dyDescent="0.35">
      <c r="A20" s="7" t="s">
        <v>24</v>
      </c>
      <c r="B20" s="1">
        <v>376129.6</v>
      </c>
      <c r="C20" s="1">
        <f t="shared" si="0"/>
        <v>0</v>
      </c>
      <c r="D20" s="1">
        <v>473373.5</v>
      </c>
      <c r="E20" s="1">
        <f t="shared" si="13"/>
        <v>0</v>
      </c>
      <c r="F20" s="2">
        <f t="shared" si="2"/>
        <v>0</v>
      </c>
      <c r="G20" s="2">
        <f t="shared" si="6"/>
        <v>1250</v>
      </c>
      <c r="H20" s="1">
        <v>21439.1</v>
      </c>
      <c r="I20" s="1">
        <f t="shared" si="3"/>
        <v>349.20000000000073</v>
      </c>
      <c r="J20" s="1">
        <v>626839.6</v>
      </c>
      <c r="K20" s="1">
        <f t="shared" si="4"/>
        <v>1040.4000000000233</v>
      </c>
      <c r="L20" s="2">
        <f t="shared" si="5"/>
        <v>1389.600000000024</v>
      </c>
      <c r="M20" s="2">
        <f t="shared" si="7"/>
        <v>60.399999999975989</v>
      </c>
      <c r="N20" s="1">
        <v>210159.9</v>
      </c>
      <c r="O20" s="1">
        <f t="shared" si="10"/>
        <v>424.70000000001164</v>
      </c>
      <c r="P20" s="1">
        <v>295190.8</v>
      </c>
      <c r="Q20" s="1">
        <f t="shared" si="11"/>
        <v>0</v>
      </c>
      <c r="R20" s="2">
        <f t="shared" si="12"/>
        <v>424.70000000001164</v>
      </c>
      <c r="S20" s="2">
        <f>1250-Sheet1!R20</f>
        <v>825.29999999998836</v>
      </c>
      <c r="T20" s="1">
        <v>338852</v>
      </c>
      <c r="U20" s="1">
        <v>228529.7</v>
      </c>
      <c r="V20" s="1">
        <v>1318769</v>
      </c>
      <c r="W20" s="2">
        <f t="shared" si="8"/>
        <v>1820.0000000000291</v>
      </c>
      <c r="X20">
        <f t="shared" si="9"/>
        <v>379.9999999999709</v>
      </c>
    </row>
    <row r="21" spans="1:24" x14ac:dyDescent="0.35">
      <c r="A21" s="7" t="s">
        <v>25</v>
      </c>
      <c r="B21" s="1">
        <v>376129.6</v>
      </c>
      <c r="C21" s="1">
        <f t="shared" si="0"/>
        <v>0</v>
      </c>
      <c r="D21" s="1">
        <v>473373.5</v>
      </c>
      <c r="E21" s="1">
        <f t="shared" si="13"/>
        <v>0</v>
      </c>
      <c r="F21" s="2">
        <f t="shared" si="2"/>
        <v>0</v>
      </c>
      <c r="G21" s="2">
        <f t="shared" si="6"/>
        <v>1250</v>
      </c>
      <c r="H21" s="1">
        <v>21788.3</v>
      </c>
      <c r="I21" s="1">
        <f t="shared" si="3"/>
        <v>310.5</v>
      </c>
      <c r="J21" s="1">
        <v>627880</v>
      </c>
      <c r="K21" s="1">
        <f t="shared" si="4"/>
        <v>810.90000000002328</v>
      </c>
      <c r="L21" s="2">
        <f t="shared" si="5"/>
        <v>1121.4000000000233</v>
      </c>
      <c r="M21" s="2">
        <f t="shared" si="7"/>
        <v>328.59999999997672</v>
      </c>
      <c r="N21" s="1">
        <v>210584.6</v>
      </c>
      <c r="O21" s="1">
        <f t="shared" si="10"/>
        <v>0</v>
      </c>
      <c r="P21" s="1">
        <v>295190.8</v>
      </c>
      <c r="Q21" s="1">
        <f t="shared" si="11"/>
        <v>889.5</v>
      </c>
      <c r="R21" s="2">
        <f t="shared" si="12"/>
        <v>889.5</v>
      </c>
      <c r="S21" s="2">
        <f>1250-Sheet1!R21</f>
        <v>360.5</v>
      </c>
      <c r="T21" s="1">
        <v>339227.7</v>
      </c>
      <c r="U21" s="1">
        <v>228759.4</v>
      </c>
      <c r="V21" s="1">
        <v>1319730</v>
      </c>
      <c r="W21" s="2">
        <f t="shared" si="8"/>
        <v>1566.3999999999942</v>
      </c>
      <c r="X21">
        <f t="shared" si="9"/>
        <v>633.60000000000582</v>
      </c>
    </row>
    <row r="22" spans="1:24" x14ac:dyDescent="0.35">
      <c r="A22" s="7" t="s">
        <v>26</v>
      </c>
      <c r="B22" s="1">
        <v>376129.6</v>
      </c>
      <c r="C22" s="1">
        <v>0</v>
      </c>
      <c r="D22" s="1">
        <v>473373.5</v>
      </c>
      <c r="E22" s="1">
        <v>0</v>
      </c>
      <c r="F22" s="2">
        <f t="shared" si="2"/>
        <v>0</v>
      </c>
      <c r="G22" s="2">
        <f t="shared" si="6"/>
        <v>1250</v>
      </c>
      <c r="H22" s="1">
        <v>22098.799999999999</v>
      </c>
      <c r="I22" s="1">
        <f t="shared" si="3"/>
        <v>356.79999999999927</v>
      </c>
      <c r="J22" s="1">
        <v>628690.9</v>
      </c>
      <c r="K22" s="1">
        <f t="shared" si="4"/>
        <v>1126.6999999999534</v>
      </c>
      <c r="L22" s="2">
        <f t="shared" si="5"/>
        <v>1483.4999999999527</v>
      </c>
      <c r="M22" s="2">
        <f t="shared" si="7"/>
        <v>-33.499999999952706</v>
      </c>
      <c r="N22" s="1">
        <v>210584.6</v>
      </c>
      <c r="O22" s="1">
        <f t="shared" si="10"/>
        <v>856.10000000000582</v>
      </c>
      <c r="P22" s="1">
        <v>296080.3</v>
      </c>
      <c r="Q22" s="1">
        <f t="shared" si="11"/>
        <v>473.29999999998836</v>
      </c>
      <c r="R22" s="2">
        <f t="shared" si="12"/>
        <v>1329.3999999999942</v>
      </c>
      <c r="S22" s="2">
        <f>1250-Sheet1!R22</f>
        <v>-79.399999999994179</v>
      </c>
      <c r="T22" s="1">
        <v>339561.6</v>
      </c>
      <c r="U22" s="1">
        <v>228966.8</v>
      </c>
      <c r="V22" s="1">
        <v>1320724</v>
      </c>
      <c r="W22" s="2">
        <f t="shared" si="8"/>
        <v>1535.2999999999593</v>
      </c>
      <c r="X22">
        <f t="shared" si="9"/>
        <v>664.70000000004075</v>
      </c>
    </row>
    <row r="23" spans="1:24" x14ac:dyDescent="0.35">
      <c r="A23" s="7" t="s">
        <v>27</v>
      </c>
      <c r="B23" s="1">
        <v>376356.3</v>
      </c>
      <c r="C23" s="1">
        <f t="shared" si="0"/>
        <v>526.40000000002328</v>
      </c>
      <c r="D23" s="1">
        <v>473773.2</v>
      </c>
      <c r="E23" s="1">
        <f t="shared" si="13"/>
        <v>715.89999999996508</v>
      </c>
      <c r="F23" s="2">
        <f t="shared" si="2"/>
        <v>1242.2999999999884</v>
      </c>
      <c r="G23" s="2">
        <f t="shared" si="6"/>
        <v>7.7000000000116415</v>
      </c>
      <c r="H23" s="1">
        <v>22455.599999999999</v>
      </c>
      <c r="I23" s="1">
        <f t="shared" si="3"/>
        <v>365.30000000000291</v>
      </c>
      <c r="J23" s="1">
        <v>629817.59999999998</v>
      </c>
      <c r="K23" s="1">
        <f t="shared" si="4"/>
        <v>1091.9000000000233</v>
      </c>
      <c r="L23" s="2">
        <f t="shared" si="5"/>
        <v>1457.2000000000262</v>
      </c>
      <c r="M23" s="2">
        <f t="shared" si="7"/>
        <v>-7.2000000000261934</v>
      </c>
      <c r="N23" s="1">
        <v>211440.7</v>
      </c>
      <c r="O23" s="1">
        <f t="shared" si="10"/>
        <v>0</v>
      </c>
      <c r="P23" s="1">
        <v>296553.59999999998</v>
      </c>
      <c r="Q23" s="1">
        <f t="shared" si="11"/>
        <v>0</v>
      </c>
      <c r="R23" s="2">
        <f t="shared" si="12"/>
        <v>0</v>
      </c>
      <c r="S23" s="2">
        <f>1250-Sheet1!R23</f>
        <v>1250</v>
      </c>
      <c r="T23" s="1">
        <v>339936.8</v>
      </c>
      <c r="U23" s="1">
        <v>229197.1</v>
      </c>
      <c r="V23" s="1">
        <v>1321884</v>
      </c>
      <c r="W23" s="2">
        <f t="shared" si="8"/>
        <v>1765.5000000000291</v>
      </c>
      <c r="X23">
        <f t="shared" si="9"/>
        <v>434.4999999999709</v>
      </c>
    </row>
    <row r="24" spans="1:24" x14ac:dyDescent="0.35">
      <c r="A24" s="7" t="s">
        <v>28</v>
      </c>
      <c r="B24" s="1">
        <v>376882.7</v>
      </c>
      <c r="C24" s="1">
        <f t="shared" si="0"/>
        <v>574.5</v>
      </c>
      <c r="D24" s="1">
        <v>474489.1</v>
      </c>
      <c r="E24" s="1">
        <f t="shared" si="13"/>
        <v>670.90000000002328</v>
      </c>
      <c r="F24" s="2">
        <f t="shared" si="2"/>
        <v>1245.4000000000233</v>
      </c>
      <c r="G24" s="2">
        <f t="shared" si="6"/>
        <v>4.5999999999767169</v>
      </c>
      <c r="H24" s="1">
        <v>22820.9</v>
      </c>
      <c r="I24" s="1">
        <f t="shared" si="3"/>
        <v>365</v>
      </c>
      <c r="J24" s="1">
        <v>630909.5</v>
      </c>
      <c r="K24" s="1">
        <f t="shared" si="4"/>
        <v>1070.4000000000233</v>
      </c>
      <c r="L24" s="2">
        <f t="shared" si="5"/>
        <v>1435.4000000000233</v>
      </c>
      <c r="M24" s="2">
        <f t="shared" si="7"/>
        <v>14.599999999976717</v>
      </c>
      <c r="N24" s="1">
        <v>211440.7</v>
      </c>
      <c r="O24" s="1">
        <f>N25-N24</f>
        <v>649.79999999998836</v>
      </c>
      <c r="P24" s="1">
        <v>296553.59999999998</v>
      </c>
      <c r="Q24" s="1">
        <f t="shared" si="11"/>
        <v>956.5</v>
      </c>
      <c r="R24" s="2">
        <f t="shared" si="12"/>
        <v>1606.2999999999884</v>
      </c>
      <c r="S24" s="2">
        <f>1250-Sheet1!R24</f>
        <v>-356.29999999998836</v>
      </c>
      <c r="T24" s="1">
        <v>340361.8</v>
      </c>
      <c r="U24" s="1">
        <v>229427.8</v>
      </c>
      <c r="V24" s="1">
        <v>1323301</v>
      </c>
      <c r="W24" s="2">
        <f t="shared" si="8"/>
        <v>2072.6999999999825</v>
      </c>
      <c r="X24">
        <f t="shared" si="9"/>
        <v>127.30000000001746</v>
      </c>
    </row>
    <row r="25" spans="1:24" x14ac:dyDescent="0.35">
      <c r="A25" s="7" t="s">
        <v>29</v>
      </c>
      <c r="B25" s="1">
        <v>377457.2</v>
      </c>
      <c r="C25" s="1">
        <f t="shared" si="0"/>
        <v>573</v>
      </c>
      <c r="D25" s="1">
        <v>475160</v>
      </c>
      <c r="E25" s="1">
        <f t="shared" si="13"/>
        <v>755.20000000001164</v>
      </c>
      <c r="F25" s="2">
        <f t="shared" si="2"/>
        <v>1328.2000000000116</v>
      </c>
      <c r="G25" s="2">
        <f t="shared" si="6"/>
        <v>-78.200000000011642</v>
      </c>
      <c r="H25" s="1">
        <v>23185.9</v>
      </c>
      <c r="I25" s="1">
        <f t="shared" si="3"/>
        <v>330.89999999999782</v>
      </c>
      <c r="J25" s="1">
        <v>631979.9</v>
      </c>
      <c r="K25" s="1">
        <f t="shared" si="4"/>
        <v>974.69999999995343</v>
      </c>
      <c r="L25" s="2">
        <f t="shared" si="5"/>
        <v>1305.5999999999513</v>
      </c>
      <c r="M25" s="2">
        <f t="shared" si="7"/>
        <v>144.40000000004875</v>
      </c>
      <c r="N25" s="1">
        <v>212090.5</v>
      </c>
      <c r="O25" s="1">
        <f t="shared" si="10"/>
        <v>457.79999999998836</v>
      </c>
      <c r="P25" s="1">
        <v>297510.09999999998</v>
      </c>
      <c r="Q25" s="1">
        <f t="shared" si="11"/>
        <v>615.30000000004657</v>
      </c>
      <c r="R25" s="2">
        <f t="shared" si="12"/>
        <v>1073.1000000000349</v>
      </c>
      <c r="S25" s="2">
        <f>1250-Sheet1!R25</f>
        <v>176.89999999996508</v>
      </c>
      <c r="T25" s="1">
        <v>340764.6</v>
      </c>
      <c r="U25" s="1">
        <v>229657.9</v>
      </c>
      <c r="V25" s="1">
        <v>1324783</v>
      </c>
      <c r="W25" s="2">
        <f t="shared" si="8"/>
        <v>2114.8999999999942</v>
      </c>
      <c r="X25">
        <f t="shared" si="9"/>
        <v>85.100000000005821</v>
      </c>
    </row>
    <row r="26" spans="1:24" x14ac:dyDescent="0.35">
      <c r="A26" s="7" t="s">
        <v>30</v>
      </c>
      <c r="B26" s="1">
        <v>378030.2</v>
      </c>
      <c r="C26" s="1">
        <f t="shared" si="0"/>
        <v>575.5</v>
      </c>
      <c r="D26" s="1">
        <v>475915.2</v>
      </c>
      <c r="E26" s="1">
        <f t="shared" si="13"/>
        <v>731.89999999996508</v>
      </c>
      <c r="F26" s="2">
        <f t="shared" si="2"/>
        <v>1307.3999999999651</v>
      </c>
      <c r="G26" s="2">
        <f t="shared" si="6"/>
        <v>-57.399999999965075</v>
      </c>
      <c r="H26" s="1">
        <v>23516.799999999999</v>
      </c>
      <c r="I26" s="1">
        <f t="shared" si="3"/>
        <v>354.79999999999927</v>
      </c>
      <c r="J26" s="1">
        <v>632954.6</v>
      </c>
      <c r="K26" s="1">
        <f t="shared" si="4"/>
        <v>1025.2000000000698</v>
      </c>
      <c r="L26" s="2">
        <f t="shared" si="5"/>
        <v>1380.0000000000691</v>
      </c>
      <c r="M26" s="2">
        <f t="shared" si="7"/>
        <v>69.999999999930878</v>
      </c>
      <c r="N26" s="1">
        <v>212548.3</v>
      </c>
      <c r="O26" s="1">
        <f t="shared" si="10"/>
        <v>433</v>
      </c>
      <c r="P26" s="1">
        <v>298125.40000000002</v>
      </c>
      <c r="Q26" s="1">
        <f t="shared" si="11"/>
        <v>483.59999999997672</v>
      </c>
      <c r="R26" s="2">
        <f t="shared" si="12"/>
        <v>916.59999999997672</v>
      </c>
      <c r="S26" s="2">
        <f>1250-Sheet1!R26</f>
        <v>333.40000000002328</v>
      </c>
      <c r="T26" s="1">
        <v>341141.2</v>
      </c>
      <c r="U26" s="1">
        <v>229888.7</v>
      </c>
      <c r="V26" s="1">
        <v>1326260</v>
      </c>
      <c r="W26" s="2">
        <f t="shared" si="8"/>
        <v>2084.4000000000524</v>
      </c>
      <c r="X26">
        <f t="shared" si="9"/>
        <v>115.59999999994761</v>
      </c>
    </row>
    <row r="27" spans="1:24" x14ac:dyDescent="0.35">
      <c r="A27" s="7" t="s">
        <v>31</v>
      </c>
      <c r="B27" s="1">
        <v>378605.7</v>
      </c>
      <c r="C27" s="1">
        <f t="shared" si="0"/>
        <v>520.20000000001164</v>
      </c>
      <c r="D27" s="1">
        <v>476647.1</v>
      </c>
      <c r="E27" s="1">
        <f t="shared" si="13"/>
        <v>686.70000000001164</v>
      </c>
      <c r="F27" s="2">
        <f t="shared" si="2"/>
        <v>1206.9000000000233</v>
      </c>
      <c r="G27" s="2">
        <f t="shared" si="6"/>
        <v>43.099999999976717</v>
      </c>
      <c r="H27" s="1">
        <v>23871.599999999999</v>
      </c>
      <c r="I27" s="1">
        <f t="shared" si="3"/>
        <v>338.40000000000146</v>
      </c>
      <c r="J27" s="1">
        <v>633979.80000000005</v>
      </c>
      <c r="K27" s="1">
        <f t="shared" si="4"/>
        <v>637.59999999997672</v>
      </c>
      <c r="L27" s="2">
        <f t="shared" si="5"/>
        <v>975.99999999997817</v>
      </c>
      <c r="M27" s="2">
        <f t="shared" si="7"/>
        <v>474.00000000002183</v>
      </c>
      <c r="N27" s="1">
        <v>212981.3</v>
      </c>
      <c r="O27" s="1">
        <f t="shared" si="10"/>
        <v>415.5</v>
      </c>
      <c r="P27" s="1">
        <v>298609</v>
      </c>
      <c r="Q27" s="1">
        <f t="shared" si="11"/>
        <v>615.20000000001164</v>
      </c>
      <c r="R27" s="2">
        <f t="shared" si="12"/>
        <v>1030.7000000000116</v>
      </c>
      <c r="S27" s="2">
        <f>1250-Sheet1!R27</f>
        <v>219.29999999998836</v>
      </c>
      <c r="T27" s="1">
        <v>341518.4</v>
      </c>
      <c r="U27" s="1">
        <v>230120.3</v>
      </c>
      <c r="V27" s="1">
        <v>1327735</v>
      </c>
      <c r="W27" s="2">
        <f t="shared" si="8"/>
        <v>2083.7999999999884</v>
      </c>
      <c r="X27">
        <f t="shared" si="9"/>
        <v>116.20000000001164</v>
      </c>
    </row>
    <row r="28" spans="1:24" x14ac:dyDescent="0.35">
      <c r="A28" s="7" t="s">
        <v>32</v>
      </c>
      <c r="B28" s="1">
        <v>379125.9</v>
      </c>
      <c r="C28" s="1">
        <f t="shared" si="0"/>
        <v>456.79999999998836</v>
      </c>
      <c r="D28" s="1">
        <v>477333.8</v>
      </c>
      <c r="E28" s="1">
        <f t="shared" si="13"/>
        <v>446.70000000001164</v>
      </c>
      <c r="F28" s="2">
        <f t="shared" si="2"/>
        <v>903.5</v>
      </c>
      <c r="G28" s="2">
        <f t="shared" si="6"/>
        <v>346.5</v>
      </c>
      <c r="H28" s="1">
        <v>24210</v>
      </c>
      <c r="I28" s="1">
        <f t="shared" si="3"/>
        <v>261.40000000000146</v>
      </c>
      <c r="J28" s="1">
        <v>634617.4</v>
      </c>
      <c r="K28" s="1">
        <f t="shared" si="4"/>
        <v>569.90000000002328</v>
      </c>
      <c r="L28" s="2">
        <f t="shared" si="5"/>
        <v>831.30000000002474</v>
      </c>
      <c r="M28" s="2">
        <f t="shared" si="7"/>
        <v>618.69999999997526</v>
      </c>
      <c r="N28" s="1">
        <v>213396.8</v>
      </c>
      <c r="O28" s="1">
        <f t="shared" si="10"/>
        <v>254.80000000001746</v>
      </c>
      <c r="P28" s="1">
        <v>299224.2</v>
      </c>
      <c r="Q28" s="1">
        <f t="shared" si="11"/>
        <v>328.5</v>
      </c>
      <c r="R28" s="2">
        <f t="shared" si="12"/>
        <v>583.30000000001746</v>
      </c>
      <c r="S28" s="2">
        <f>1250-Sheet1!R28</f>
        <v>666.69999999998254</v>
      </c>
      <c r="T28" s="1">
        <v>341878.8</v>
      </c>
      <c r="U28" s="1">
        <v>230346</v>
      </c>
      <c r="V28" s="1">
        <v>1329063</v>
      </c>
      <c r="W28" s="2">
        <f t="shared" si="8"/>
        <v>1914.0999999999767</v>
      </c>
      <c r="X28">
        <f t="shared" si="9"/>
        <v>285.90000000002328</v>
      </c>
    </row>
    <row r="29" spans="1:24" x14ac:dyDescent="0.35">
      <c r="A29" s="7" t="s">
        <v>33</v>
      </c>
      <c r="B29" s="1">
        <v>379582.7</v>
      </c>
      <c r="C29" s="1">
        <f t="shared" si="0"/>
        <v>458.70000000001164</v>
      </c>
      <c r="D29" s="1">
        <v>477780.5</v>
      </c>
      <c r="E29" s="1">
        <f t="shared" si="13"/>
        <v>534.5</v>
      </c>
      <c r="F29" s="2">
        <f t="shared" si="2"/>
        <v>993.20000000001164</v>
      </c>
      <c r="G29" s="2">
        <f t="shared" si="6"/>
        <v>256.79999999998836</v>
      </c>
      <c r="H29" s="1">
        <v>24471.4</v>
      </c>
      <c r="I29" s="1">
        <f t="shared" si="3"/>
        <v>310.69999999999709</v>
      </c>
      <c r="J29" s="1">
        <v>635187.30000000005</v>
      </c>
      <c r="K29" s="1">
        <f t="shared" si="4"/>
        <v>766.79999999993015</v>
      </c>
      <c r="L29" s="2">
        <f t="shared" si="5"/>
        <v>1077.4999999999272</v>
      </c>
      <c r="M29" s="2">
        <f t="shared" si="7"/>
        <v>372.50000000007276</v>
      </c>
      <c r="N29" s="1">
        <v>213651.6</v>
      </c>
      <c r="O29" s="1">
        <f t="shared" si="10"/>
        <v>294.39999999999418</v>
      </c>
      <c r="P29" s="1">
        <v>299552.7</v>
      </c>
      <c r="Q29" s="1">
        <f t="shared" si="11"/>
        <v>414.89999999996508</v>
      </c>
      <c r="R29" s="2">
        <f t="shared" si="12"/>
        <v>709.29999999995925</v>
      </c>
      <c r="S29" s="2">
        <f>1250-Sheet1!R29</f>
        <v>540.70000000004075</v>
      </c>
      <c r="T29" s="1">
        <v>342256.8</v>
      </c>
      <c r="U29" s="1">
        <v>230578.8</v>
      </c>
      <c r="V29" s="1">
        <v>1330441</v>
      </c>
      <c r="W29" s="2">
        <f t="shared" si="8"/>
        <v>1988.7999999999884</v>
      </c>
      <c r="X29">
        <f t="shared" si="9"/>
        <v>211.20000000001164</v>
      </c>
    </row>
    <row r="30" spans="1:24" x14ac:dyDescent="0.35">
      <c r="A30" s="7" t="s">
        <v>34</v>
      </c>
      <c r="B30" s="1">
        <v>380041.4</v>
      </c>
      <c r="C30" s="1">
        <f t="shared" si="0"/>
        <v>455.5</v>
      </c>
      <c r="D30" s="1">
        <v>478315</v>
      </c>
      <c r="E30" s="1">
        <f t="shared" si="13"/>
        <v>513</v>
      </c>
      <c r="F30" s="2">
        <f t="shared" si="2"/>
        <v>968.5</v>
      </c>
      <c r="G30" s="2">
        <f t="shared" si="6"/>
        <v>281.5</v>
      </c>
      <c r="H30" s="1">
        <v>24782.1</v>
      </c>
      <c r="I30" s="1">
        <f t="shared" si="3"/>
        <v>329.70000000000073</v>
      </c>
      <c r="J30" s="1">
        <v>635954.1</v>
      </c>
      <c r="K30" s="1">
        <f t="shared" si="4"/>
        <v>986.59999999997672</v>
      </c>
      <c r="L30" s="2">
        <f t="shared" si="5"/>
        <v>1316.2999999999774</v>
      </c>
      <c r="M30" s="2">
        <f t="shared" si="7"/>
        <v>133.70000000002256</v>
      </c>
      <c r="N30" s="1">
        <v>213946</v>
      </c>
      <c r="O30" s="1">
        <f t="shared" si="10"/>
        <v>230.60000000000582</v>
      </c>
      <c r="P30" s="1">
        <v>299967.59999999998</v>
      </c>
      <c r="Q30" s="1">
        <f t="shared" si="11"/>
        <v>236.20000000001164</v>
      </c>
      <c r="R30" s="2">
        <f t="shared" si="12"/>
        <v>466.80000000001746</v>
      </c>
      <c r="S30" s="2">
        <f>1250-Sheet1!R30</f>
        <v>783.19999999998254</v>
      </c>
      <c r="T30" s="1">
        <v>342634.1</v>
      </c>
      <c r="U30" s="1">
        <v>230810.1</v>
      </c>
      <c r="V30" s="1">
        <v>1331519</v>
      </c>
      <c r="W30" s="2">
        <f t="shared" si="8"/>
        <v>1686.6000000000058</v>
      </c>
      <c r="X30">
        <f t="shared" si="9"/>
        <v>513.39999999999418</v>
      </c>
    </row>
    <row r="31" spans="1:24" x14ac:dyDescent="0.35">
      <c r="A31" s="7" t="s">
        <v>35</v>
      </c>
      <c r="B31" s="1">
        <v>380496.9</v>
      </c>
      <c r="C31" s="1">
        <f t="shared" si="0"/>
        <v>455.39999999996508</v>
      </c>
      <c r="D31" s="1">
        <v>478828</v>
      </c>
      <c r="E31" s="1">
        <f t="shared" si="13"/>
        <v>533.20000000001164</v>
      </c>
      <c r="F31" s="2">
        <f t="shared" si="2"/>
        <v>988.59999999997672</v>
      </c>
      <c r="G31" s="2">
        <f t="shared" si="6"/>
        <v>261.40000000002328</v>
      </c>
      <c r="H31" s="1">
        <v>25111.8</v>
      </c>
      <c r="I31" s="1">
        <f t="shared" si="3"/>
        <v>317.79999999999927</v>
      </c>
      <c r="J31" s="1">
        <v>636940.69999999995</v>
      </c>
      <c r="K31" s="1">
        <f t="shared" si="4"/>
        <v>864.10000000009313</v>
      </c>
      <c r="L31" s="2">
        <f t="shared" si="5"/>
        <v>1181.9000000000924</v>
      </c>
      <c r="M31" s="2">
        <f t="shared" si="7"/>
        <v>268.0999999999076</v>
      </c>
      <c r="N31" s="1">
        <v>214176.6</v>
      </c>
      <c r="O31" s="1">
        <f t="shared" si="10"/>
        <v>0</v>
      </c>
      <c r="P31" s="1">
        <v>300203.8</v>
      </c>
      <c r="Q31" s="1">
        <f>P32-P31</f>
        <v>17.700000000011642</v>
      </c>
      <c r="R31" s="2">
        <f t="shared" si="12"/>
        <v>17.700000000011642</v>
      </c>
      <c r="S31" s="2">
        <f>1250-Sheet1!R31</f>
        <v>1232.2999999999884</v>
      </c>
      <c r="T31" s="1">
        <v>343011.2</v>
      </c>
      <c r="U31" s="1">
        <v>231041.6</v>
      </c>
      <c r="V31" s="1">
        <v>1332606</v>
      </c>
      <c r="W31" s="2">
        <f t="shared" si="8"/>
        <v>1695.6000000000349</v>
      </c>
      <c r="X31">
        <f t="shared" si="9"/>
        <v>504.39999999996508</v>
      </c>
    </row>
    <row r="32" spans="1:24" x14ac:dyDescent="0.35">
      <c r="A32" s="7" t="s">
        <v>36</v>
      </c>
      <c r="B32" s="1">
        <v>380952.3</v>
      </c>
      <c r="C32" s="1">
        <f t="shared" si="0"/>
        <v>454.10000000003492</v>
      </c>
      <c r="D32" s="1">
        <v>479361.2</v>
      </c>
      <c r="E32" s="1">
        <f t="shared" si="13"/>
        <v>492.70000000001164</v>
      </c>
      <c r="F32" s="2">
        <f t="shared" si="2"/>
        <v>946.80000000004657</v>
      </c>
      <c r="G32" s="2">
        <f t="shared" si="6"/>
        <v>303.19999999995343</v>
      </c>
      <c r="H32" s="1">
        <v>25429.599999999999</v>
      </c>
      <c r="I32" s="1">
        <f t="shared" si="3"/>
        <v>308.90000000000146</v>
      </c>
      <c r="J32" s="1">
        <v>637804.80000000005</v>
      </c>
      <c r="K32" s="1">
        <f t="shared" si="4"/>
        <v>891.59999999997672</v>
      </c>
      <c r="L32" s="2">
        <f t="shared" si="5"/>
        <v>1200.4999999999782</v>
      </c>
      <c r="M32" s="2">
        <f t="shared" si="7"/>
        <v>249.50000000002183</v>
      </c>
      <c r="N32" s="1">
        <v>214176.6</v>
      </c>
      <c r="O32" s="1">
        <f t="shared" si="10"/>
        <v>0</v>
      </c>
      <c r="P32" s="1">
        <v>300221.5</v>
      </c>
      <c r="Q32" s="1">
        <f t="shared" ref="Q32:Q58" si="14">P33-P32</f>
        <v>17.900000000023283</v>
      </c>
      <c r="R32" s="2">
        <f t="shared" si="12"/>
        <v>17.900000000023283</v>
      </c>
      <c r="S32" s="2">
        <f>1250-Sheet1!R32</f>
        <v>1232.0999999999767</v>
      </c>
      <c r="T32" s="1">
        <v>343388.3</v>
      </c>
      <c r="U32" s="1">
        <v>231272.9</v>
      </c>
      <c r="V32" s="1">
        <v>1333918</v>
      </c>
      <c r="W32" s="2">
        <f t="shared" si="8"/>
        <v>1920.3999999999651</v>
      </c>
      <c r="X32">
        <f t="shared" si="9"/>
        <v>279.60000000003492</v>
      </c>
    </row>
    <row r="33" spans="1:24" x14ac:dyDescent="0.35">
      <c r="A33" s="7">
        <v>46143</v>
      </c>
      <c r="B33" s="1">
        <v>381406.4</v>
      </c>
      <c r="C33" s="1">
        <f t="shared" si="0"/>
        <v>449.5</v>
      </c>
      <c r="D33" s="1">
        <v>479853.9</v>
      </c>
      <c r="E33" s="1">
        <f t="shared" si="13"/>
        <v>431.19999999995343</v>
      </c>
      <c r="F33" s="2">
        <f t="shared" si="2"/>
        <v>880.69999999995343</v>
      </c>
      <c r="G33" s="2">
        <f t="shared" si="6"/>
        <v>369.30000000004657</v>
      </c>
      <c r="H33" s="1">
        <v>25738.5</v>
      </c>
      <c r="I33" s="1">
        <f t="shared" si="3"/>
        <v>299</v>
      </c>
      <c r="J33" s="1">
        <v>638696.4</v>
      </c>
      <c r="K33" s="1">
        <f t="shared" si="4"/>
        <v>892.29999999993015</v>
      </c>
      <c r="L33" s="2">
        <f t="shared" si="5"/>
        <v>1191.2999999999302</v>
      </c>
      <c r="M33" s="2">
        <f t="shared" si="7"/>
        <v>258.70000000006985</v>
      </c>
      <c r="N33" s="1">
        <v>214176.6</v>
      </c>
      <c r="O33" s="1">
        <f t="shared" si="10"/>
        <v>0.10000000000582077</v>
      </c>
      <c r="P33" s="1">
        <v>300239.40000000002</v>
      </c>
      <c r="Q33" s="1">
        <f t="shared" si="14"/>
        <v>19.699999999953434</v>
      </c>
      <c r="R33" s="2">
        <f t="shared" si="12"/>
        <v>19.799999999959255</v>
      </c>
      <c r="S33" s="2">
        <f>1250-Sheet1!R33</f>
        <v>1230.2000000000407</v>
      </c>
      <c r="T33" s="1">
        <v>343765.4</v>
      </c>
      <c r="U33" s="1">
        <v>231504.1</v>
      </c>
      <c r="V33" s="1">
        <v>1335578</v>
      </c>
      <c r="W33" s="2">
        <f t="shared" si="8"/>
        <v>2268.3000000000466</v>
      </c>
      <c r="X33">
        <f t="shared" si="9"/>
        <v>-68.300000000046566</v>
      </c>
    </row>
    <row r="34" spans="1:24" x14ac:dyDescent="0.35">
      <c r="A34" s="7">
        <v>46144</v>
      </c>
      <c r="B34" s="1">
        <v>381855.9</v>
      </c>
      <c r="C34" s="1">
        <f t="shared" si="0"/>
        <v>447.29999999998836</v>
      </c>
      <c r="D34" s="1">
        <v>480285.1</v>
      </c>
      <c r="E34" s="1">
        <f t="shared" si="13"/>
        <v>499.90000000002328</v>
      </c>
      <c r="F34" s="2">
        <f t="shared" si="2"/>
        <v>947.20000000001164</v>
      </c>
      <c r="G34" s="2">
        <f t="shared" si="6"/>
        <v>302.79999999998836</v>
      </c>
      <c r="H34" s="1">
        <v>26037.5</v>
      </c>
      <c r="I34" s="1">
        <f t="shared" si="3"/>
        <v>338.79999999999927</v>
      </c>
      <c r="J34" s="1">
        <v>639588.69999999995</v>
      </c>
      <c r="K34" s="1">
        <f t="shared" si="4"/>
        <v>823.30000000004657</v>
      </c>
      <c r="L34" s="2">
        <f t="shared" si="5"/>
        <v>1162.1000000000458</v>
      </c>
      <c r="M34" s="2">
        <f t="shared" si="7"/>
        <v>287.89999999995416</v>
      </c>
      <c r="N34" s="1">
        <v>214176.7</v>
      </c>
      <c r="O34" s="1">
        <f t="shared" si="10"/>
        <v>0</v>
      </c>
      <c r="P34" s="1">
        <v>300259.09999999998</v>
      </c>
      <c r="Q34" s="1">
        <f t="shared" si="14"/>
        <v>0</v>
      </c>
      <c r="R34" s="2">
        <f t="shared" si="12"/>
        <v>0</v>
      </c>
      <c r="S34" s="2">
        <f>1250-Sheet1!R34</f>
        <v>1250</v>
      </c>
      <c r="T34" s="1">
        <v>344137</v>
      </c>
      <c r="U34" s="1">
        <v>231730.4</v>
      </c>
      <c r="V34" s="1">
        <v>1337131</v>
      </c>
      <c r="W34" s="2">
        <f t="shared" si="8"/>
        <v>2150.8999999999651</v>
      </c>
      <c r="X34">
        <f t="shared" si="9"/>
        <v>49.100000000034925</v>
      </c>
    </row>
    <row r="35" spans="1:24" x14ac:dyDescent="0.35">
      <c r="A35" s="7">
        <v>46145</v>
      </c>
      <c r="B35" s="1">
        <v>382303.2</v>
      </c>
      <c r="C35" s="1">
        <f t="shared" si="0"/>
        <v>298.79999999998836</v>
      </c>
      <c r="D35" s="1">
        <v>480785</v>
      </c>
      <c r="E35" s="1">
        <f t="shared" si="13"/>
        <v>326.5</v>
      </c>
      <c r="F35" s="2">
        <f t="shared" si="2"/>
        <v>625.29999999998836</v>
      </c>
      <c r="G35" s="2">
        <f t="shared" si="6"/>
        <v>624.70000000001164</v>
      </c>
      <c r="H35" s="1">
        <v>26376.3</v>
      </c>
      <c r="I35" s="1">
        <f t="shared" si="3"/>
        <v>216.40000000000146</v>
      </c>
      <c r="J35" s="1">
        <v>640412</v>
      </c>
      <c r="K35" s="1">
        <f t="shared" si="4"/>
        <v>573.80000000004657</v>
      </c>
      <c r="L35" s="2">
        <f t="shared" si="5"/>
        <v>790.20000000004802</v>
      </c>
      <c r="M35" s="2">
        <f t="shared" si="7"/>
        <v>659.79999999995198</v>
      </c>
      <c r="N35" s="1">
        <v>214176.7</v>
      </c>
      <c r="O35" s="1">
        <f t="shared" si="10"/>
        <v>0</v>
      </c>
      <c r="P35" s="1">
        <v>300259.09999999998</v>
      </c>
      <c r="Q35" s="1">
        <f t="shared" si="14"/>
        <v>0</v>
      </c>
      <c r="R35" s="2">
        <f t="shared" si="12"/>
        <v>0</v>
      </c>
      <c r="S35" s="2">
        <f>1250-Sheet1!R35</f>
        <v>1250</v>
      </c>
      <c r="T35" s="1">
        <v>344508.3</v>
      </c>
      <c r="U35" s="1">
        <v>231957</v>
      </c>
      <c r="V35" s="1">
        <v>1338701</v>
      </c>
      <c r="W35" s="2">
        <f t="shared" si="8"/>
        <v>2167.8999999999942</v>
      </c>
      <c r="X35">
        <f t="shared" si="9"/>
        <v>32.100000000005821</v>
      </c>
    </row>
    <row r="36" spans="1:24" x14ac:dyDescent="0.35">
      <c r="A36" s="7">
        <v>46146</v>
      </c>
      <c r="B36" s="1">
        <v>382602</v>
      </c>
      <c r="C36" s="1">
        <f t="shared" si="0"/>
        <v>369</v>
      </c>
      <c r="D36" s="1">
        <v>481111.5</v>
      </c>
      <c r="E36" s="1">
        <f t="shared" si="13"/>
        <v>439.09999999997672</v>
      </c>
      <c r="F36" s="2">
        <f t="shared" si="2"/>
        <v>808.09999999997672</v>
      </c>
      <c r="G36" s="2">
        <f t="shared" si="6"/>
        <v>441.90000000002328</v>
      </c>
      <c r="H36" s="1">
        <v>26592.7</v>
      </c>
      <c r="I36" s="1">
        <f t="shared" si="3"/>
        <v>264</v>
      </c>
      <c r="J36" s="1">
        <v>640985.80000000005</v>
      </c>
      <c r="K36" s="1">
        <f t="shared" si="4"/>
        <v>1133</v>
      </c>
      <c r="L36" s="2">
        <f t="shared" si="5"/>
        <v>1397</v>
      </c>
      <c r="M36" s="2">
        <f t="shared" si="7"/>
        <v>53</v>
      </c>
      <c r="N36" s="1">
        <v>214176.7</v>
      </c>
      <c r="O36" s="1">
        <f t="shared" si="10"/>
        <v>0</v>
      </c>
      <c r="P36" s="1">
        <v>300259.09999999998</v>
      </c>
      <c r="Q36" s="1">
        <f t="shared" si="14"/>
        <v>0</v>
      </c>
      <c r="R36" s="2">
        <f t="shared" si="12"/>
        <v>0</v>
      </c>
      <c r="S36" s="2">
        <f>1250-Sheet1!R36</f>
        <v>1250</v>
      </c>
      <c r="T36" s="1">
        <v>344898.5</v>
      </c>
      <c r="U36" s="1">
        <v>232159.1</v>
      </c>
      <c r="V36" s="1">
        <v>1340375</v>
      </c>
      <c r="W36" s="2">
        <f t="shared" si="8"/>
        <v>2266.3000000000175</v>
      </c>
      <c r="X36">
        <f t="shared" si="9"/>
        <v>-66.300000000017462</v>
      </c>
    </row>
    <row r="37" spans="1:24" x14ac:dyDescent="0.35">
      <c r="A37" s="7">
        <v>46147</v>
      </c>
      <c r="B37" s="1">
        <v>382971</v>
      </c>
      <c r="C37" s="1">
        <f t="shared" si="0"/>
        <v>452.40000000002328</v>
      </c>
      <c r="D37" s="1">
        <v>481550.6</v>
      </c>
      <c r="E37" s="1">
        <f t="shared" si="13"/>
        <v>520</v>
      </c>
      <c r="F37" s="2">
        <f t="shared" si="2"/>
        <v>972.40000000002328</v>
      </c>
      <c r="G37" s="2">
        <f t="shared" si="6"/>
        <v>277.59999999997672</v>
      </c>
      <c r="H37" s="1">
        <v>26856.7</v>
      </c>
      <c r="I37" s="1">
        <f t="shared" si="3"/>
        <v>342.5</v>
      </c>
      <c r="J37" s="1">
        <v>642118.80000000005</v>
      </c>
      <c r="K37" s="1">
        <f t="shared" si="4"/>
        <v>1310.5</v>
      </c>
      <c r="L37" s="2">
        <f t="shared" si="5"/>
        <v>1653</v>
      </c>
      <c r="M37" s="2">
        <f t="shared" si="7"/>
        <v>-203</v>
      </c>
      <c r="N37" s="1">
        <v>214176.7</v>
      </c>
      <c r="O37" s="1">
        <f t="shared" si="10"/>
        <v>0</v>
      </c>
      <c r="P37" s="1">
        <v>300259.09999999998</v>
      </c>
      <c r="Q37" s="1">
        <f t="shared" si="14"/>
        <v>0</v>
      </c>
      <c r="R37" s="2">
        <f t="shared" si="12"/>
        <v>0</v>
      </c>
      <c r="S37" s="2">
        <f>1250-Sheet1!R37</f>
        <v>1250</v>
      </c>
      <c r="T37" s="1">
        <v>345274.1</v>
      </c>
      <c r="U37" s="1">
        <v>232384.1</v>
      </c>
      <c r="V37" s="1">
        <v>1341940</v>
      </c>
      <c r="W37" s="2">
        <f t="shared" si="8"/>
        <v>2165.5999999999767</v>
      </c>
      <c r="X37">
        <f t="shared" si="9"/>
        <v>34.400000000023283</v>
      </c>
    </row>
    <row r="38" spans="1:24" x14ac:dyDescent="0.35">
      <c r="A38" s="7">
        <v>46148</v>
      </c>
      <c r="B38" s="1">
        <v>383423.4</v>
      </c>
      <c r="C38" s="1">
        <f t="shared" si="0"/>
        <v>430.59999999997672</v>
      </c>
      <c r="D38" s="1">
        <v>482070.6</v>
      </c>
      <c r="E38" s="1">
        <f t="shared" si="13"/>
        <v>545.90000000002328</v>
      </c>
      <c r="F38" s="2">
        <f t="shared" si="2"/>
        <v>976.5</v>
      </c>
      <c r="G38" s="2">
        <f t="shared" si="6"/>
        <v>273.5</v>
      </c>
      <c r="H38" s="1">
        <v>27199.200000000001</v>
      </c>
      <c r="I38" s="1">
        <f t="shared" si="3"/>
        <v>325</v>
      </c>
      <c r="J38" s="1">
        <v>643429.30000000005</v>
      </c>
      <c r="K38" s="1">
        <f t="shared" si="4"/>
        <v>1225</v>
      </c>
      <c r="L38" s="2">
        <f t="shared" si="5"/>
        <v>1550</v>
      </c>
      <c r="M38" s="2">
        <f t="shared" si="7"/>
        <v>-100</v>
      </c>
      <c r="N38" s="1">
        <v>214176.7</v>
      </c>
      <c r="O38" s="1">
        <f t="shared" si="10"/>
        <v>0</v>
      </c>
      <c r="P38" s="1">
        <v>300259.09999999998</v>
      </c>
      <c r="Q38" s="1">
        <f t="shared" si="14"/>
        <v>0</v>
      </c>
      <c r="R38" s="2">
        <f t="shared" si="12"/>
        <v>0</v>
      </c>
      <c r="S38" s="2">
        <f>1250-Sheet1!R38</f>
        <v>1250</v>
      </c>
      <c r="T38" s="1">
        <v>345640.8</v>
      </c>
      <c r="U38" s="1">
        <v>232614.6</v>
      </c>
      <c r="V38" s="1">
        <v>1343740</v>
      </c>
      <c r="W38" s="2">
        <f t="shared" si="8"/>
        <v>2397.2000000000116</v>
      </c>
      <c r="X38">
        <f t="shared" si="9"/>
        <v>-197.20000000001164</v>
      </c>
    </row>
    <row r="39" spans="1:24" x14ac:dyDescent="0.35">
      <c r="A39" s="7">
        <v>46149</v>
      </c>
      <c r="B39" s="1">
        <v>383854</v>
      </c>
      <c r="C39" s="1">
        <f t="shared" si="0"/>
        <v>403.59999999997672</v>
      </c>
      <c r="D39" s="1">
        <v>482616.5</v>
      </c>
      <c r="E39" s="1">
        <f t="shared" si="13"/>
        <v>474.20000000001164</v>
      </c>
      <c r="F39" s="2">
        <f t="shared" si="2"/>
        <v>877.79999999998836</v>
      </c>
      <c r="G39" s="2">
        <f t="shared" si="6"/>
        <v>372.20000000001164</v>
      </c>
      <c r="H39" s="1">
        <v>27524.2</v>
      </c>
      <c r="I39" s="1">
        <f t="shared" si="3"/>
        <v>293.5</v>
      </c>
      <c r="J39" s="1">
        <v>644654.30000000005</v>
      </c>
      <c r="K39" s="1">
        <f t="shared" si="4"/>
        <v>995.89999999990687</v>
      </c>
      <c r="L39" s="2">
        <f t="shared" si="5"/>
        <v>1289.3999999999069</v>
      </c>
      <c r="M39" s="2">
        <f t="shared" si="7"/>
        <v>160.60000000009313</v>
      </c>
      <c r="N39" s="1">
        <v>214176.7</v>
      </c>
      <c r="O39" s="1">
        <f t="shared" si="10"/>
        <v>304.39999999999418</v>
      </c>
      <c r="P39" s="1">
        <v>300259.09999999998</v>
      </c>
      <c r="Q39" s="1">
        <f t="shared" si="14"/>
        <v>455.80000000004657</v>
      </c>
      <c r="R39" s="2">
        <f t="shared" si="12"/>
        <v>760.20000000004075</v>
      </c>
      <c r="S39" s="2">
        <f>1250-Sheet1!R39</f>
        <v>489.79999999995925</v>
      </c>
      <c r="T39" s="1">
        <v>346020</v>
      </c>
      <c r="U39" s="1">
        <v>232846.8</v>
      </c>
      <c r="V39" s="1">
        <v>1345425</v>
      </c>
      <c r="W39" s="2">
        <f t="shared" si="8"/>
        <v>2296.3999999999942</v>
      </c>
      <c r="X39">
        <f t="shared" si="9"/>
        <v>-96.399999999994179</v>
      </c>
    </row>
    <row r="40" spans="1:24" x14ac:dyDescent="0.35">
      <c r="A40" s="7">
        <v>46150</v>
      </c>
      <c r="B40" s="1">
        <v>384257.6</v>
      </c>
      <c r="C40" s="1">
        <f t="shared" si="0"/>
        <v>389.70000000001164</v>
      </c>
      <c r="D40" s="1">
        <v>483090.7</v>
      </c>
      <c r="E40" s="1">
        <f t="shared" si="13"/>
        <v>513.89999999996508</v>
      </c>
      <c r="F40" s="2">
        <f t="shared" si="2"/>
        <v>903.59999999997672</v>
      </c>
      <c r="G40" s="2">
        <f t="shared" si="6"/>
        <v>346.40000000002328</v>
      </c>
      <c r="H40" s="1">
        <v>27817.7</v>
      </c>
      <c r="I40" s="1">
        <f t="shared" si="3"/>
        <v>271.59999999999854</v>
      </c>
      <c r="J40" s="1">
        <v>645650.19999999995</v>
      </c>
      <c r="K40" s="1">
        <f t="shared" si="4"/>
        <v>932.20000000006985</v>
      </c>
      <c r="L40" s="2">
        <f t="shared" si="5"/>
        <v>1203.8000000000684</v>
      </c>
      <c r="M40" s="2">
        <f t="shared" si="7"/>
        <v>246.19999999993161</v>
      </c>
      <c r="N40" s="1">
        <v>214481.1</v>
      </c>
      <c r="O40" s="1">
        <f t="shared" si="10"/>
        <v>313.79999999998836</v>
      </c>
      <c r="P40" s="1">
        <v>300714.90000000002</v>
      </c>
      <c r="Q40" s="1">
        <f t="shared" si="14"/>
        <v>407.69999999995343</v>
      </c>
      <c r="R40" s="2">
        <f t="shared" si="12"/>
        <v>721.49999999994179</v>
      </c>
      <c r="S40" s="2">
        <f>1250-Sheet1!R40</f>
        <v>528.50000000005821</v>
      </c>
      <c r="T40" s="1">
        <v>346397.3</v>
      </c>
      <c r="U40" s="1">
        <v>233077.1</v>
      </c>
      <c r="V40" s="1">
        <v>1347094</v>
      </c>
      <c r="W40" s="2">
        <f t="shared" si="8"/>
        <v>2276.6000000000058</v>
      </c>
      <c r="X40">
        <f t="shared" si="9"/>
        <v>-76.600000000005821</v>
      </c>
    </row>
    <row r="41" spans="1:24" x14ac:dyDescent="0.35">
      <c r="A41" s="7">
        <v>46151</v>
      </c>
      <c r="B41">
        <v>384647.3</v>
      </c>
      <c r="C41" s="1">
        <f t="shared" si="0"/>
        <v>433.79999999998836</v>
      </c>
      <c r="D41">
        <v>483604.6</v>
      </c>
      <c r="E41" s="1">
        <f t="shared" si="13"/>
        <v>692.60000000003492</v>
      </c>
      <c r="F41" s="2">
        <f t="shared" si="2"/>
        <v>1126.4000000000233</v>
      </c>
      <c r="G41" s="2">
        <f t="shared" si="6"/>
        <v>123.59999999997672</v>
      </c>
      <c r="H41">
        <v>28089.3</v>
      </c>
      <c r="I41" s="1">
        <f t="shared" si="3"/>
        <v>309.10000000000218</v>
      </c>
      <c r="J41">
        <v>646582.4</v>
      </c>
      <c r="K41" s="1">
        <f t="shared" si="4"/>
        <v>970.79999999993015</v>
      </c>
      <c r="L41" s="2">
        <f t="shared" si="5"/>
        <v>1279.8999999999323</v>
      </c>
      <c r="M41" s="2">
        <f t="shared" si="7"/>
        <v>170.10000000006767</v>
      </c>
      <c r="N41">
        <v>214794.9</v>
      </c>
      <c r="O41" s="1">
        <f t="shared" si="10"/>
        <v>0</v>
      </c>
      <c r="P41">
        <v>301122.59999999998</v>
      </c>
      <c r="Q41" s="1">
        <f t="shared" si="14"/>
        <v>0</v>
      </c>
      <c r="R41" s="2">
        <f t="shared" si="12"/>
        <v>0</v>
      </c>
      <c r="S41" s="2">
        <f>1250-Sheet1!R41</f>
        <v>1250</v>
      </c>
      <c r="T41">
        <v>346776.3</v>
      </c>
      <c r="U41">
        <v>233309.3</v>
      </c>
      <c r="V41">
        <v>1348761</v>
      </c>
      <c r="W41" s="2">
        <f t="shared" si="8"/>
        <v>2278.1999999999825</v>
      </c>
      <c r="X41">
        <f t="shared" si="9"/>
        <v>-78.199999999982538</v>
      </c>
    </row>
    <row r="42" spans="1:24" x14ac:dyDescent="0.35">
      <c r="A42" s="7">
        <v>46152</v>
      </c>
      <c r="B42">
        <v>385081.1</v>
      </c>
      <c r="C42" s="1">
        <f t="shared" si="0"/>
        <v>376.30000000004657</v>
      </c>
      <c r="D42">
        <v>484297.2</v>
      </c>
      <c r="E42" s="1">
        <f t="shared" si="13"/>
        <v>634.79999999998836</v>
      </c>
      <c r="F42" s="2">
        <f t="shared" si="2"/>
        <v>1011.1000000000349</v>
      </c>
      <c r="G42" s="2">
        <f t="shared" si="6"/>
        <v>238.89999999996508</v>
      </c>
      <c r="H42">
        <v>28398.400000000001</v>
      </c>
      <c r="I42" s="1">
        <f t="shared" si="3"/>
        <v>214.39999999999782</v>
      </c>
      <c r="J42">
        <v>647553.19999999995</v>
      </c>
      <c r="K42" s="1">
        <f t="shared" si="4"/>
        <v>450</v>
      </c>
      <c r="L42" s="2">
        <f t="shared" si="5"/>
        <v>664.39999999999782</v>
      </c>
      <c r="M42" s="2">
        <f t="shared" si="7"/>
        <v>785.60000000000218</v>
      </c>
      <c r="N42">
        <v>214794.9</v>
      </c>
      <c r="O42" s="1">
        <f t="shared" si="10"/>
        <v>0</v>
      </c>
      <c r="P42">
        <v>301122.59999999998</v>
      </c>
      <c r="Q42" s="1">
        <f t="shared" si="14"/>
        <v>0</v>
      </c>
      <c r="R42" s="2">
        <f t="shared" si="12"/>
        <v>0</v>
      </c>
      <c r="S42" s="2">
        <f>1250-Sheet1!R42</f>
        <v>1250</v>
      </c>
      <c r="T42">
        <v>347152.7</v>
      </c>
      <c r="U42">
        <v>233540.7</v>
      </c>
      <c r="V42">
        <v>1350417</v>
      </c>
      <c r="W42" s="2">
        <f t="shared" si="8"/>
        <v>2263.8000000000466</v>
      </c>
      <c r="X42">
        <f t="shared" si="9"/>
        <v>-63.800000000046566</v>
      </c>
    </row>
    <row r="43" spans="1:24" x14ac:dyDescent="0.35">
      <c r="A43" s="7">
        <v>46153</v>
      </c>
      <c r="B43">
        <v>385457.4</v>
      </c>
      <c r="C43" s="1">
        <f t="shared" si="0"/>
        <v>433.89999999996508</v>
      </c>
      <c r="D43">
        <v>484932</v>
      </c>
      <c r="E43" s="1">
        <f t="shared" si="13"/>
        <v>844.90000000002328</v>
      </c>
      <c r="F43" s="2">
        <f t="shared" si="2"/>
        <v>1278.7999999999884</v>
      </c>
      <c r="G43" s="2">
        <f t="shared" si="6"/>
        <v>-28.799999999988358</v>
      </c>
      <c r="H43">
        <v>28612.799999999999</v>
      </c>
      <c r="I43" s="1">
        <f t="shared" si="3"/>
        <v>226.5</v>
      </c>
      <c r="J43">
        <v>648003.19999999995</v>
      </c>
      <c r="K43" s="1">
        <f t="shared" si="4"/>
        <v>1048.9000000000233</v>
      </c>
      <c r="L43" s="2">
        <f t="shared" si="5"/>
        <v>1275.4000000000233</v>
      </c>
      <c r="M43" s="2">
        <f t="shared" si="7"/>
        <v>174.59999999997672</v>
      </c>
      <c r="N43">
        <v>214794.9</v>
      </c>
      <c r="O43" s="1">
        <f t="shared" si="10"/>
        <v>172</v>
      </c>
      <c r="P43">
        <v>301122.59999999998</v>
      </c>
      <c r="Q43" s="1">
        <f t="shared" si="14"/>
        <v>226.5</v>
      </c>
      <c r="R43" s="2">
        <f t="shared" si="12"/>
        <v>398.5</v>
      </c>
      <c r="S43" s="2">
        <f>1250-Sheet1!R43</f>
        <v>851.5</v>
      </c>
      <c r="T43">
        <v>347484.3</v>
      </c>
      <c r="U43">
        <v>233735.3</v>
      </c>
      <c r="V43">
        <v>1352024</v>
      </c>
      <c r="W43" s="2">
        <f t="shared" si="8"/>
        <v>2133.1999999999534</v>
      </c>
      <c r="X43">
        <f t="shared" si="9"/>
        <v>66.800000000046566</v>
      </c>
    </row>
    <row r="44" spans="1:24" x14ac:dyDescent="0.35">
      <c r="A44" s="7">
        <v>46154</v>
      </c>
      <c r="B44">
        <v>385891.3</v>
      </c>
      <c r="C44" s="1">
        <f t="shared" si="0"/>
        <v>437.70000000001164</v>
      </c>
      <c r="D44">
        <v>485776.9</v>
      </c>
      <c r="E44" s="1">
        <f t="shared" si="13"/>
        <v>973.19999999995343</v>
      </c>
      <c r="F44" s="2">
        <f t="shared" si="2"/>
        <v>1410.8999999999651</v>
      </c>
      <c r="G44" s="2">
        <f t="shared" si="6"/>
        <v>-160.89999999996508</v>
      </c>
      <c r="H44">
        <v>28839.3</v>
      </c>
      <c r="I44" s="1">
        <f t="shared" si="3"/>
        <v>286.60000000000218</v>
      </c>
      <c r="J44">
        <v>649052.1</v>
      </c>
      <c r="K44" s="1">
        <f t="shared" si="4"/>
        <v>1287</v>
      </c>
      <c r="L44" s="2">
        <f t="shared" si="5"/>
        <v>1573.6000000000022</v>
      </c>
      <c r="M44" s="2">
        <f t="shared" si="7"/>
        <v>-123.60000000000218</v>
      </c>
      <c r="N44">
        <v>214966.9</v>
      </c>
      <c r="O44" s="1">
        <f t="shared" si="10"/>
        <v>249.30000000001746</v>
      </c>
      <c r="P44">
        <v>301349.09999999998</v>
      </c>
      <c r="Q44" s="1">
        <f t="shared" si="14"/>
        <v>349.90000000002328</v>
      </c>
      <c r="R44" s="2">
        <f t="shared" si="12"/>
        <v>599.20000000004075</v>
      </c>
      <c r="S44" s="2">
        <f>1250-Sheet1!R44</f>
        <v>650.79999999995925</v>
      </c>
      <c r="T44">
        <v>347840.6</v>
      </c>
      <c r="U44">
        <v>233945.60000000001</v>
      </c>
      <c r="V44">
        <v>1353728</v>
      </c>
      <c r="W44" s="2">
        <f t="shared" si="8"/>
        <v>2270.6000000000058</v>
      </c>
      <c r="X44">
        <f t="shared" si="9"/>
        <v>-70.600000000005821</v>
      </c>
    </row>
    <row r="45" spans="1:24" x14ac:dyDescent="0.35">
      <c r="A45" s="7">
        <v>46155</v>
      </c>
      <c r="B45">
        <v>386329</v>
      </c>
      <c r="C45" s="1">
        <f t="shared" si="0"/>
        <v>533.59999999997672</v>
      </c>
      <c r="D45">
        <v>486750.1</v>
      </c>
      <c r="E45" s="1">
        <f t="shared" si="13"/>
        <v>1050.5</v>
      </c>
      <c r="F45" s="2">
        <f t="shared" si="2"/>
        <v>1584.0999999999767</v>
      </c>
      <c r="G45" s="2">
        <f t="shared" si="6"/>
        <v>-334.09999999997672</v>
      </c>
      <c r="H45">
        <v>29125.9</v>
      </c>
      <c r="I45" s="1">
        <f t="shared" si="3"/>
        <v>322.69999999999709</v>
      </c>
      <c r="J45">
        <v>650339.1</v>
      </c>
      <c r="K45" s="1">
        <f t="shared" si="4"/>
        <v>1403.7000000000698</v>
      </c>
      <c r="L45" s="2">
        <f t="shared" si="5"/>
        <v>1726.4000000000669</v>
      </c>
      <c r="M45" s="2">
        <f t="shared" si="7"/>
        <v>-276.40000000006694</v>
      </c>
      <c r="N45">
        <v>215216.2</v>
      </c>
      <c r="O45" s="1">
        <f t="shared" si="10"/>
        <v>9.3999999999941792</v>
      </c>
      <c r="P45">
        <v>301699</v>
      </c>
      <c r="Q45" s="1">
        <f t="shared" si="14"/>
        <v>24.200000000011642</v>
      </c>
      <c r="R45" s="2">
        <f t="shared" si="12"/>
        <v>33.600000000005821</v>
      </c>
      <c r="S45" s="2">
        <f>1250-Sheet1!R45</f>
        <v>1216.3999999999942</v>
      </c>
      <c r="T45">
        <v>348196.9</v>
      </c>
      <c r="U45">
        <v>234156.2</v>
      </c>
      <c r="V45">
        <v>1355287</v>
      </c>
      <c r="W45" s="2">
        <f t="shared" si="8"/>
        <v>2125.9000000000524</v>
      </c>
      <c r="X45">
        <f t="shared" si="9"/>
        <v>74.099999999947613</v>
      </c>
    </row>
    <row r="46" spans="1:24" x14ac:dyDescent="0.35">
      <c r="A46" s="7">
        <v>46156</v>
      </c>
      <c r="B46">
        <v>386862.6</v>
      </c>
      <c r="C46" s="1">
        <f t="shared" si="0"/>
        <v>594.70000000001164</v>
      </c>
      <c r="D46">
        <v>487800.6</v>
      </c>
      <c r="E46" s="1">
        <f t="shared" si="13"/>
        <v>1007.7000000000116</v>
      </c>
      <c r="F46" s="2">
        <f t="shared" si="2"/>
        <v>1602.4000000000233</v>
      </c>
      <c r="G46" s="2">
        <f t="shared" si="6"/>
        <v>-352.40000000002328</v>
      </c>
      <c r="H46">
        <v>29448.6</v>
      </c>
      <c r="I46" s="1">
        <f t="shared" si="3"/>
        <v>278.70000000000073</v>
      </c>
      <c r="J46">
        <v>651742.80000000005</v>
      </c>
      <c r="K46" s="1">
        <f t="shared" si="4"/>
        <v>1126</v>
      </c>
      <c r="L46" s="2">
        <f t="shared" si="5"/>
        <v>1404.7000000000007</v>
      </c>
      <c r="M46" s="2">
        <f t="shared" si="7"/>
        <v>45.299999999999272</v>
      </c>
      <c r="N46">
        <v>215225.60000000001</v>
      </c>
      <c r="O46" s="1">
        <f t="shared" si="10"/>
        <v>121.89999999999418</v>
      </c>
      <c r="P46">
        <v>301723.2</v>
      </c>
      <c r="Q46" s="1">
        <f t="shared" si="14"/>
        <v>219.59999999997672</v>
      </c>
      <c r="R46" s="2">
        <f t="shared" si="12"/>
        <v>341.4999999999709</v>
      </c>
      <c r="S46" s="2">
        <f>1250-Sheet1!R46</f>
        <v>908.5000000000291</v>
      </c>
      <c r="T46">
        <v>348546.2</v>
      </c>
      <c r="U46">
        <v>234360.9</v>
      </c>
      <c r="V46">
        <v>1356630</v>
      </c>
      <c r="W46" s="2">
        <f t="shared" si="8"/>
        <v>1896.9999999999709</v>
      </c>
      <c r="X46">
        <f t="shared" si="9"/>
        <v>303.0000000000291</v>
      </c>
    </row>
    <row r="47" spans="1:24" x14ac:dyDescent="0.35">
      <c r="A47" s="7">
        <v>46157</v>
      </c>
      <c r="B47">
        <v>387457.3</v>
      </c>
      <c r="C47" s="1">
        <f t="shared" si="0"/>
        <v>522.60000000003492</v>
      </c>
      <c r="D47">
        <v>488808.3</v>
      </c>
      <c r="E47" s="1">
        <f t="shared" si="13"/>
        <v>1012.2999999999884</v>
      </c>
      <c r="F47" s="2">
        <f t="shared" si="2"/>
        <v>1534.9000000000233</v>
      </c>
      <c r="G47" s="2">
        <f t="shared" si="6"/>
        <v>-284.90000000002328</v>
      </c>
      <c r="H47">
        <v>29727.3</v>
      </c>
      <c r="I47" s="1">
        <f t="shared" si="3"/>
        <v>336.40000000000146</v>
      </c>
      <c r="J47">
        <v>652868.80000000005</v>
      </c>
      <c r="K47" s="1">
        <f t="shared" si="4"/>
        <v>1316.5</v>
      </c>
      <c r="L47" s="2">
        <f t="shared" si="5"/>
        <v>1652.9000000000015</v>
      </c>
      <c r="M47" s="2">
        <f t="shared" si="7"/>
        <v>-202.90000000000146</v>
      </c>
      <c r="N47">
        <v>215347.5</v>
      </c>
      <c r="O47" s="1">
        <f t="shared" si="10"/>
        <v>154.70000000001164</v>
      </c>
      <c r="P47">
        <v>301942.8</v>
      </c>
      <c r="Q47" s="1">
        <f t="shared" si="14"/>
        <v>267.90000000002328</v>
      </c>
      <c r="R47" s="2">
        <f t="shared" si="12"/>
        <v>422.60000000003492</v>
      </c>
      <c r="S47" s="2">
        <f>1250-Sheet1!R47</f>
        <v>827.39999999996508</v>
      </c>
      <c r="T47">
        <v>348890.4</v>
      </c>
      <c r="U47">
        <v>234560.2</v>
      </c>
      <c r="V47">
        <v>1357954</v>
      </c>
      <c r="W47" s="2">
        <f t="shared" si="8"/>
        <v>1867.5000000000291</v>
      </c>
      <c r="X47">
        <f t="shared" si="9"/>
        <v>332.4999999999709</v>
      </c>
    </row>
    <row r="48" spans="1:24" x14ac:dyDescent="0.35">
      <c r="A48" s="7">
        <v>46158</v>
      </c>
      <c r="B48">
        <v>387979.9</v>
      </c>
      <c r="C48" s="1">
        <f t="shared" si="0"/>
        <v>508.89999999996508</v>
      </c>
      <c r="D48">
        <v>489820.6</v>
      </c>
      <c r="E48" s="1">
        <f t="shared" si="13"/>
        <v>934.40000000002328</v>
      </c>
      <c r="F48" s="2">
        <f t="shared" si="2"/>
        <v>1443.2999999999884</v>
      </c>
      <c r="G48" s="2">
        <f t="shared" si="6"/>
        <v>-193.29999999998836</v>
      </c>
      <c r="H48">
        <v>30063.7</v>
      </c>
      <c r="I48" s="1">
        <f t="shared" si="3"/>
        <v>286</v>
      </c>
      <c r="J48">
        <v>654185.30000000005</v>
      </c>
      <c r="K48" s="1">
        <f t="shared" si="4"/>
        <v>1160.2999999999302</v>
      </c>
      <c r="L48" s="2">
        <f t="shared" si="5"/>
        <v>1446.2999999999302</v>
      </c>
      <c r="M48" s="2">
        <f t="shared" si="7"/>
        <v>3.7000000000698492</v>
      </c>
      <c r="N48">
        <v>215502.2</v>
      </c>
      <c r="O48" s="1">
        <f t="shared" si="10"/>
        <v>0</v>
      </c>
      <c r="P48">
        <v>302210.7</v>
      </c>
      <c r="Q48" s="1">
        <f t="shared" si="14"/>
        <v>0</v>
      </c>
      <c r="R48" s="2">
        <f t="shared" si="12"/>
        <v>0</v>
      </c>
      <c r="S48" s="2">
        <f>1250-Sheet1!R48</f>
        <v>1250</v>
      </c>
      <c r="T48">
        <v>349267.8</v>
      </c>
      <c r="U48">
        <v>234790.9</v>
      </c>
      <c r="V48">
        <v>1359447</v>
      </c>
      <c r="W48" s="2">
        <f t="shared" si="8"/>
        <v>2101.0999999999476</v>
      </c>
      <c r="X48">
        <f t="shared" si="9"/>
        <v>98.900000000052387</v>
      </c>
    </row>
    <row r="49" spans="1:24" x14ac:dyDescent="0.35">
      <c r="A49" s="7">
        <v>46159</v>
      </c>
      <c r="B49">
        <v>388488.8</v>
      </c>
      <c r="C49" s="1">
        <f t="shared" si="0"/>
        <v>0</v>
      </c>
      <c r="D49">
        <v>490755</v>
      </c>
      <c r="E49" s="1">
        <f t="shared" si="13"/>
        <v>0</v>
      </c>
      <c r="F49" s="2">
        <f t="shared" si="2"/>
        <v>0</v>
      </c>
      <c r="G49" s="2">
        <f t="shared" si="6"/>
        <v>1250</v>
      </c>
      <c r="H49">
        <v>30349.7</v>
      </c>
      <c r="I49" s="1">
        <f t="shared" si="3"/>
        <v>178.5</v>
      </c>
      <c r="J49">
        <v>655345.6</v>
      </c>
      <c r="K49" s="1">
        <f t="shared" si="4"/>
        <v>418.70000000006985</v>
      </c>
      <c r="L49" s="2">
        <f t="shared" si="5"/>
        <v>597.20000000006985</v>
      </c>
      <c r="M49" s="2">
        <f t="shared" si="7"/>
        <v>852.79999999993015</v>
      </c>
      <c r="N49">
        <v>215502.2</v>
      </c>
      <c r="O49" s="1">
        <f t="shared" si="10"/>
        <v>0</v>
      </c>
      <c r="P49">
        <v>302210.7</v>
      </c>
      <c r="Q49" s="1">
        <f t="shared" si="14"/>
        <v>0</v>
      </c>
      <c r="R49" s="2">
        <f t="shared" si="12"/>
        <v>0</v>
      </c>
      <c r="S49" s="2">
        <f>1250-Sheet1!R49</f>
        <v>1250</v>
      </c>
      <c r="T49">
        <v>349645.4</v>
      </c>
      <c r="U49">
        <v>235021.4</v>
      </c>
      <c r="V49">
        <v>1360742</v>
      </c>
      <c r="W49" s="2">
        <f t="shared" si="8"/>
        <v>1903.1000000000349</v>
      </c>
      <c r="X49">
        <f t="shared" si="9"/>
        <v>296.89999999996508</v>
      </c>
    </row>
    <row r="50" spans="1:24" x14ac:dyDescent="0.35">
      <c r="A50" s="7">
        <v>46160</v>
      </c>
      <c r="B50">
        <v>388488.8</v>
      </c>
      <c r="C50" s="1">
        <f t="shared" si="0"/>
        <v>738.40000000002328</v>
      </c>
      <c r="D50">
        <v>490755</v>
      </c>
      <c r="E50" s="1">
        <f t="shared" si="13"/>
        <v>1185.9000000000233</v>
      </c>
      <c r="F50" s="2">
        <f t="shared" si="2"/>
        <v>1924.3000000000466</v>
      </c>
      <c r="G50" s="2">
        <f t="shared" si="6"/>
        <v>-674.30000000004657</v>
      </c>
      <c r="H50">
        <v>30528.2</v>
      </c>
      <c r="I50" s="1">
        <f t="shared" si="3"/>
        <v>339.20000000000073</v>
      </c>
      <c r="J50">
        <v>655764.30000000005</v>
      </c>
      <c r="K50" s="1">
        <f t="shared" si="4"/>
        <v>1408.5999999999767</v>
      </c>
      <c r="L50" s="2">
        <f t="shared" si="5"/>
        <v>1747.7999999999774</v>
      </c>
      <c r="M50" s="2">
        <f t="shared" si="7"/>
        <v>-297.79999999997744</v>
      </c>
      <c r="N50">
        <v>215502.2</v>
      </c>
      <c r="O50" s="1">
        <f t="shared" si="10"/>
        <v>0</v>
      </c>
      <c r="P50">
        <v>302210.7</v>
      </c>
      <c r="Q50" s="1">
        <f t="shared" si="14"/>
        <v>0</v>
      </c>
      <c r="R50" s="2">
        <f t="shared" si="12"/>
        <v>0</v>
      </c>
      <c r="S50" s="2">
        <f>1250-Sheet1!R50</f>
        <v>1250</v>
      </c>
      <c r="T50">
        <v>350012.5</v>
      </c>
      <c r="U50">
        <v>235249.8</v>
      </c>
      <c r="V50">
        <v>1362228</v>
      </c>
      <c r="W50" s="2">
        <f t="shared" si="8"/>
        <v>2081.4999999999709</v>
      </c>
      <c r="X50">
        <f t="shared" si="9"/>
        <v>118.5000000000291</v>
      </c>
    </row>
    <row r="51" spans="1:24" x14ac:dyDescent="0.35">
      <c r="A51" s="7">
        <v>46161</v>
      </c>
      <c r="B51">
        <v>389227.2</v>
      </c>
      <c r="C51" s="1">
        <f t="shared" si="0"/>
        <v>502.09999999997672</v>
      </c>
      <c r="D51">
        <v>491940.9</v>
      </c>
      <c r="E51" s="1">
        <f t="shared" si="13"/>
        <v>927.79999999998836</v>
      </c>
      <c r="F51" s="2">
        <f t="shared" si="2"/>
        <v>1429.8999999999651</v>
      </c>
      <c r="G51" s="2">
        <f t="shared" si="6"/>
        <v>-179.89999999996508</v>
      </c>
      <c r="H51">
        <v>30867.4</v>
      </c>
      <c r="I51" s="1">
        <f t="shared" si="3"/>
        <v>342.59999999999854</v>
      </c>
      <c r="J51">
        <v>657172.9</v>
      </c>
      <c r="K51" s="1">
        <f t="shared" si="4"/>
        <v>1327.4000000000233</v>
      </c>
      <c r="L51" s="2">
        <f t="shared" si="5"/>
        <v>1670.0000000000218</v>
      </c>
      <c r="M51" s="2">
        <f t="shared" si="7"/>
        <v>-220.00000000002183</v>
      </c>
      <c r="N51">
        <v>215502.2</v>
      </c>
      <c r="O51" s="1">
        <f t="shared" si="10"/>
        <v>159.69999999998254</v>
      </c>
      <c r="P51">
        <v>302210.7</v>
      </c>
      <c r="Q51" s="1">
        <f t="shared" si="14"/>
        <v>248.39999999996508</v>
      </c>
      <c r="R51" s="2">
        <f t="shared" si="12"/>
        <v>408.09999999994761</v>
      </c>
      <c r="S51" s="2">
        <f>1250-Sheet1!R51</f>
        <v>841.90000000005239</v>
      </c>
      <c r="T51">
        <v>350382</v>
      </c>
      <c r="U51">
        <v>235476.5</v>
      </c>
      <c r="V51">
        <v>1363708</v>
      </c>
      <c r="W51" s="2">
        <f t="shared" si="8"/>
        <v>2076.2000000000116</v>
      </c>
      <c r="X51">
        <f t="shared" si="9"/>
        <v>123.79999999998836</v>
      </c>
    </row>
    <row r="52" spans="1:24" x14ac:dyDescent="0.35">
      <c r="A52" s="7">
        <v>46162</v>
      </c>
      <c r="B52">
        <v>389729.3</v>
      </c>
      <c r="C52" s="1">
        <f t="shared" si="0"/>
        <v>487.40000000002328</v>
      </c>
      <c r="D52">
        <v>492868.7</v>
      </c>
      <c r="E52" s="1">
        <f t="shared" si="13"/>
        <v>743.59999999997672</v>
      </c>
      <c r="F52" s="2">
        <f t="shared" si="2"/>
        <v>1231</v>
      </c>
      <c r="G52" s="2">
        <f t="shared" si="6"/>
        <v>19</v>
      </c>
      <c r="H52">
        <v>31210</v>
      </c>
      <c r="I52" s="1">
        <f t="shared" si="3"/>
        <v>337.40000000000146</v>
      </c>
      <c r="J52">
        <v>658500.30000000005</v>
      </c>
      <c r="K52" s="1">
        <f t="shared" si="4"/>
        <v>1115</v>
      </c>
      <c r="L52" s="2">
        <f t="shared" si="5"/>
        <v>1452.4000000000015</v>
      </c>
      <c r="M52" s="2">
        <f t="shared" si="7"/>
        <v>-2.4000000000014552</v>
      </c>
      <c r="N52">
        <v>215661.9</v>
      </c>
      <c r="O52" s="1">
        <f t="shared" si="10"/>
        <v>172.30000000001746</v>
      </c>
      <c r="P52">
        <v>302459.09999999998</v>
      </c>
      <c r="Q52" s="1">
        <f t="shared" si="14"/>
        <v>256.30000000004657</v>
      </c>
      <c r="R52" s="2">
        <f t="shared" si="12"/>
        <v>428.60000000006403</v>
      </c>
      <c r="S52" s="2">
        <f>1250-Sheet1!R52</f>
        <v>821.39999999993597</v>
      </c>
      <c r="T52">
        <v>350757.1</v>
      </c>
      <c r="U52">
        <v>235707</v>
      </c>
      <c r="V52">
        <v>1365195</v>
      </c>
      <c r="W52" s="2">
        <f t="shared" si="8"/>
        <v>2092.5999999999767</v>
      </c>
      <c r="X52">
        <f t="shared" si="9"/>
        <v>107.40000000002328</v>
      </c>
    </row>
    <row r="53" spans="1:24" x14ac:dyDescent="0.35">
      <c r="A53" s="7">
        <v>46163</v>
      </c>
      <c r="B53">
        <v>390216.7</v>
      </c>
      <c r="C53" s="1">
        <f t="shared" si="0"/>
        <v>498.59999999997672</v>
      </c>
      <c r="D53">
        <v>493612.3</v>
      </c>
      <c r="E53" s="1">
        <f t="shared" si="13"/>
        <v>857.70000000001164</v>
      </c>
      <c r="F53" s="2">
        <f t="shared" si="2"/>
        <v>1356.2999999999884</v>
      </c>
      <c r="G53" s="2">
        <f t="shared" si="6"/>
        <v>-106.29999999998836</v>
      </c>
      <c r="H53">
        <v>31547.4</v>
      </c>
      <c r="I53" s="1">
        <f t="shared" si="3"/>
        <v>336.5</v>
      </c>
      <c r="J53">
        <v>659615.30000000005</v>
      </c>
      <c r="K53" s="1">
        <f t="shared" si="4"/>
        <v>1208.6999999999534</v>
      </c>
      <c r="L53" s="2">
        <f t="shared" si="5"/>
        <v>1545.1999999999534</v>
      </c>
      <c r="M53" s="2">
        <f t="shared" si="7"/>
        <v>-95.199999999953434</v>
      </c>
      <c r="N53">
        <v>215834.2</v>
      </c>
      <c r="O53" s="1">
        <f t="shared" si="10"/>
        <v>0</v>
      </c>
      <c r="P53">
        <v>302715.40000000002</v>
      </c>
      <c r="Q53" s="1">
        <f t="shared" si="14"/>
        <v>17.699999999953434</v>
      </c>
      <c r="R53" s="2">
        <f t="shared" si="12"/>
        <v>17.699999999953434</v>
      </c>
      <c r="S53" s="2">
        <f>1250-Sheet1!R53</f>
        <v>1232.3000000000466</v>
      </c>
      <c r="T53">
        <v>351131.6</v>
      </c>
      <c r="U53">
        <v>235938.5</v>
      </c>
      <c r="V53">
        <v>1366685</v>
      </c>
      <c r="W53" s="2">
        <f t="shared" si="8"/>
        <v>2096</v>
      </c>
      <c r="X53">
        <f t="shared" si="9"/>
        <v>104</v>
      </c>
    </row>
    <row r="54" spans="1:24" x14ac:dyDescent="0.35">
      <c r="A54" s="7">
        <v>46164</v>
      </c>
      <c r="B54">
        <v>390715.3</v>
      </c>
      <c r="C54" s="1">
        <f t="shared" si="0"/>
        <v>488.20000000001164</v>
      </c>
      <c r="D54">
        <v>494470</v>
      </c>
      <c r="E54" s="1">
        <f t="shared" si="13"/>
        <v>902.5</v>
      </c>
      <c r="F54" s="2">
        <f t="shared" si="2"/>
        <v>1390.7000000000116</v>
      </c>
      <c r="G54" s="2">
        <f t="shared" si="6"/>
        <v>-140.70000000001164</v>
      </c>
      <c r="H54">
        <v>31883.9</v>
      </c>
      <c r="I54" s="1">
        <f t="shared" si="3"/>
        <v>332</v>
      </c>
      <c r="J54">
        <v>660824</v>
      </c>
      <c r="K54" s="1">
        <f t="shared" si="4"/>
        <v>1238.3000000000466</v>
      </c>
      <c r="L54" s="2">
        <f>I54+K54</f>
        <v>1570.3000000000466</v>
      </c>
      <c r="M54" s="2">
        <f t="shared" si="7"/>
        <v>-120.30000000004657</v>
      </c>
      <c r="N54">
        <v>215834.2</v>
      </c>
      <c r="O54" s="1">
        <f t="shared" si="10"/>
        <v>0</v>
      </c>
      <c r="P54">
        <v>302733.09999999998</v>
      </c>
      <c r="Q54" s="1">
        <f t="shared" si="14"/>
        <v>19.100000000034925</v>
      </c>
      <c r="R54" s="2">
        <f t="shared" si="12"/>
        <v>19.100000000034925</v>
      </c>
      <c r="S54" s="2">
        <f>1250-Sheet1!R54</f>
        <v>1230.8999999999651</v>
      </c>
      <c r="T54">
        <v>351506.7</v>
      </c>
      <c r="U54">
        <v>236169.4</v>
      </c>
      <c r="V54">
        <v>1368173</v>
      </c>
      <c r="W54" s="2">
        <f t="shared" si="8"/>
        <v>2094.0000000000291</v>
      </c>
      <c r="X54">
        <f t="shared" si="9"/>
        <v>105.9999999999709</v>
      </c>
    </row>
    <row r="55" spans="1:24" x14ac:dyDescent="0.35">
      <c r="A55" s="7">
        <v>46165</v>
      </c>
      <c r="B55">
        <v>391203.5</v>
      </c>
      <c r="C55" s="1">
        <f t="shared" si="0"/>
        <v>502</v>
      </c>
      <c r="D55">
        <v>495372.5</v>
      </c>
      <c r="E55" s="1">
        <f t="shared" si="13"/>
        <v>855.5</v>
      </c>
      <c r="F55" s="2">
        <f t="shared" si="2"/>
        <v>1357.5</v>
      </c>
      <c r="G55" s="2">
        <f t="shared" si="6"/>
        <v>-107.5</v>
      </c>
      <c r="H55">
        <v>32215.9</v>
      </c>
      <c r="I55" s="1">
        <f t="shared" si="3"/>
        <v>286.29999999999927</v>
      </c>
      <c r="J55">
        <v>662062.30000000005</v>
      </c>
      <c r="K55" s="1">
        <f t="shared" si="4"/>
        <v>786.79999999993015</v>
      </c>
      <c r="L55" s="2">
        <f t="shared" si="5"/>
        <v>1073.0999999999294</v>
      </c>
      <c r="M55" s="2">
        <f t="shared" si="7"/>
        <v>376.90000000007058</v>
      </c>
      <c r="N55">
        <v>215834.2</v>
      </c>
      <c r="O55" s="1">
        <f t="shared" si="10"/>
        <v>0</v>
      </c>
      <c r="P55">
        <v>302752.2</v>
      </c>
      <c r="Q55" s="1">
        <f t="shared" si="14"/>
        <v>17.799999999988358</v>
      </c>
      <c r="R55" s="2">
        <f t="shared" si="12"/>
        <v>17.799999999988358</v>
      </c>
      <c r="S55" s="2">
        <f>1250-Sheet1!R55</f>
        <v>1232.2000000000116</v>
      </c>
      <c r="T55">
        <v>351882.2</v>
      </c>
      <c r="U55">
        <v>236400.9</v>
      </c>
      <c r="V55">
        <v>1369659</v>
      </c>
      <c r="W55" s="2">
        <f t="shared" si="8"/>
        <v>2093</v>
      </c>
      <c r="X55">
        <f t="shared" si="9"/>
        <v>107</v>
      </c>
    </row>
    <row r="56" spans="1:24" x14ac:dyDescent="0.35">
      <c r="A56" s="7">
        <v>46166</v>
      </c>
      <c r="B56">
        <v>391705.5</v>
      </c>
      <c r="C56" s="1">
        <f t="shared" si="0"/>
        <v>458.40000000002328</v>
      </c>
      <c r="D56">
        <v>496228</v>
      </c>
      <c r="E56" s="1">
        <f t="shared" si="13"/>
        <v>677.5</v>
      </c>
      <c r="F56" s="2">
        <f t="shared" si="2"/>
        <v>1135.9000000000233</v>
      </c>
      <c r="G56" s="2">
        <f t="shared" si="6"/>
        <v>114.09999999997672</v>
      </c>
      <c r="H56">
        <v>32502.2</v>
      </c>
      <c r="I56" s="1">
        <f t="shared" si="3"/>
        <v>220.79999999999927</v>
      </c>
      <c r="J56">
        <v>662849.1</v>
      </c>
      <c r="K56" s="1">
        <f t="shared" si="4"/>
        <v>456.70000000006985</v>
      </c>
      <c r="L56" s="2">
        <f t="shared" si="5"/>
        <v>677.50000000006912</v>
      </c>
      <c r="M56" s="2">
        <f t="shared" si="7"/>
        <v>772.49999999993088</v>
      </c>
      <c r="N56">
        <v>215834.2</v>
      </c>
      <c r="O56" s="1">
        <f t="shared" si="10"/>
        <v>0</v>
      </c>
      <c r="P56">
        <v>302770</v>
      </c>
      <c r="Q56" s="1">
        <f t="shared" si="14"/>
        <v>19.299999999988358</v>
      </c>
      <c r="R56" s="2">
        <f t="shared" si="12"/>
        <v>19.299999999988358</v>
      </c>
      <c r="S56" s="2">
        <f>1250-Sheet1!R56</f>
        <v>1230.7000000000116</v>
      </c>
      <c r="T56">
        <v>352243.4</v>
      </c>
      <c r="U56">
        <v>236618.8</v>
      </c>
      <c r="V56">
        <v>1371052</v>
      </c>
      <c r="W56" s="2">
        <f t="shared" si="8"/>
        <v>1972.1000000000058</v>
      </c>
      <c r="X56">
        <f t="shared" si="9"/>
        <v>227.89999999999418</v>
      </c>
    </row>
    <row r="57" spans="1:24" x14ac:dyDescent="0.35">
      <c r="A57" s="7">
        <v>46167</v>
      </c>
      <c r="B57">
        <v>392163.9</v>
      </c>
      <c r="C57" s="1">
        <f t="shared" si="0"/>
        <v>-392163.9</v>
      </c>
      <c r="D57">
        <v>496905.5</v>
      </c>
      <c r="E57" s="1">
        <f t="shared" si="13"/>
        <v>-496905.5</v>
      </c>
      <c r="F57" s="2">
        <f t="shared" si="2"/>
        <v>-889069.4</v>
      </c>
      <c r="G57" s="2">
        <f t="shared" si="6"/>
        <v>890319.4</v>
      </c>
      <c r="H57">
        <v>32723</v>
      </c>
      <c r="I57" s="1">
        <f t="shared" si="3"/>
        <v>-32723</v>
      </c>
      <c r="J57">
        <v>663305.80000000005</v>
      </c>
      <c r="K57" s="1">
        <f t="shared" si="4"/>
        <v>-663305.80000000005</v>
      </c>
      <c r="L57" s="2">
        <f t="shared" si="5"/>
        <v>-696028.8</v>
      </c>
      <c r="M57" s="2">
        <f t="shared" si="7"/>
        <v>697478.8</v>
      </c>
      <c r="N57">
        <v>215834.2</v>
      </c>
      <c r="O57" s="1">
        <f t="shared" si="10"/>
        <v>-215834.2</v>
      </c>
      <c r="P57">
        <v>302789.3</v>
      </c>
      <c r="Q57" s="1">
        <f t="shared" si="14"/>
        <v>-302789.3</v>
      </c>
      <c r="R57" s="2">
        <f t="shared" si="12"/>
        <v>-518623.5</v>
      </c>
      <c r="S57" s="2">
        <f>1250-Sheet1!R57</f>
        <v>519873.5</v>
      </c>
      <c r="T57">
        <v>352564.1</v>
      </c>
      <c r="U57">
        <v>236809.3</v>
      </c>
      <c r="V57">
        <v>1372287</v>
      </c>
      <c r="W57" s="2">
        <f t="shared" si="8"/>
        <v>1746.1999999999534</v>
      </c>
      <c r="X57">
        <f t="shared" si="9"/>
        <v>453.80000000004657</v>
      </c>
    </row>
    <row r="58" spans="1:24" x14ac:dyDescent="0.35">
      <c r="A58" s="7">
        <v>46168</v>
      </c>
      <c r="G58" s="2">
        <f t="shared" si="6"/>
        <v>1250</v>
      </c>
      <c r="I58" s="1">
        <f t="shared" si="3"/>
        <v>0</v>
      </c>
      <c r="K58" s="1">
        <f t="shared" si="4"/>
        <v>0</v>
      </c>
      <c r="L58" s="2">
        <f t="shared" si="5"/>
        <v>0</v>
      </c>
      <c r="M58" s="2">
        <f t="shared" si="7"/>
        <v>1450</v>
      </c>
      <c r="O58" s="1">
        <f t="shared" si="10"/>
        <v>0</v>
      </c>
      <c r="Q58" s="1">
        <f t="shared" si="14"/>
        <v>0</v>
      </c>
      <c r="R58" s="2">
        <f t="shared" si="12"/>
        <v>0</v>
      </c>
      <c r="S58" s="2">
        <f>1250-Sheet1!R58</f>
        <v>1250</v>
      </c>
    </row>
  </sheetData>
  <mergeCells count="3">
    <mergeCell ref="B2:E2"/>
    <mergeCell ref="H2:K2"/>
    <mergeCell ref="N2:Q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activeCell="J10" sqref="J10"/>
    </sheetView>
  </sheetViews>
  <sheetFormatPr defaultRowHeight="14.5" x14ac:dyDescent="0.35"/>
  <cols>
    <col min="1" max="2" width="15.81640625" bestFit="1" customWidth="1"/>
    <col min="3" max="3" width="12.36328125" bestFit="1" customWidth="1"/>
    <col min="4" max="4" width="12.36328125" customWidth="1"/>
    <col min="5" max="6" width="15.81640625" bestFit="1" customWidth="1"/>
    <col min="7" max="7" width="12.36328125" bestFit="1" customWidth="1"/>
    <col min="8" max="8" width="12.36328125" customWidth="1"/>
    <col min="9" max="10" width="15.81640625" bestFit="1" customWidth="1"/>
    <col min="11" max="11" width="12.36328125" bestFit="1" customWidth="1"/>
    <col min="12" max="12" width="12.36328125" customWidth="1"/>
    <col min="13" max="14" width="15.81640625" bestFit="1" customWidth="1"/>
    <col min="15" max="15" width="12.36328125" bestFit="1" customWidth="1"/>
    <col min="16" max="16" width="15.81640625" bestFit="1" customWidth="1"/>
    <col min="17" max="17" width="15.453125" bestFit="1" customWidth="1"/>
    <col min="18" max="18" width="12.36328125" customWidth="1"/>
    <col min="19" max="20" width="15.81640625" bestFit="1" customWidth="1"/>
    <col min="21" max="21" width="12.36328125" bestFit="1" customWidth="1"/>
    <col min="22" max="22" width="15.81640625" bestFit="1" customWidth="1"/>
    <col min="23" max="23" width="15.453125" bestFit="1" customWidth="1"/>
    <col min="24" max="24" width="12.36328125" bestFit="1" customWidth="1"/>
  </cols>
  <sheetData>
    <row r="1" spans="1:24" x14ac:dyDescent="0.35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x14ac:dyDescent="0.35">
      <c r="A2" s="26" t="s">
        <v>16</v>
      </c>
      <c r="B2" s="27"/>
      <c r="C2" s="28"/>
      <c r="D2" s="6"/>
      <c r="E2" s="26" t="s">
        <v>15</v>
      </c>
      <c r="F2" s="27"/>
      <c r="G2" s="28"/>
      <c r="H2" s="6"/>
      <c r="I2" s="26" t="s">
        <v>17</v>
      </c>
      <c r="J2" s="27"/>
      <c r="K2" s="28"/>
      <c r="L2" s="6"/>
      <c r="M2" s="26" t="s">
        <v>18</v>
      </c>
      <c r="N2" s="27"/>
      <c r="O2" s="28"/>
      <c r="P2" s="26" t="s">
        <v>37</v>
      </c>
      <c r="Q2" s="27"/>
      <c r="R2" s="28"/>
      <c r="S2" s="26" t="s">
        <v>19</v>
      </c>
      <c r="T2" s="27"/>
      <c r="U2" s="28"/>
      <c r="V2" s="26" t="s">
        <v>20</v>
      </c>
      <c r="W2" s="27"/>
      <c r="X2" s="28"/>
    </row>
    <row r="3" spans="1:24" x14ac:dyDescent="0.35">
      <c r="A3" s="9" t="s">
        <v>11</v>
      </c>
      <c r="B3" s="9" t="s">
        <v>12</v>
      </c>
      <c r="C3" s="9" t="s">
        <v>13</v>
      </c>
      <c r="D3" s="9" t="s">
        <v>38</v>
      </c>
      <c r="E3" s="9" t="s">
        <v>11</v>
      </c>
      <c r="F3" s="9" t="s">
        <v>12</v>
      </c>
      <c r="G3" s="9" t="s">
        <v>13</v>
      </c>
      <c r="H3" s="9" t="s">
        <v>38</v>
      </c>
      <c r="I3" s="9" t="s">
        <v>11</v>
      </c>
      <c r="J3" s="9" t="s">
        <v>12</v>
      </c>
      <c r="K3" s="9" t="s">
        <v>13</v>
      </c>
      <c r="L3" s="9" t="s">
        <v>38</v>
      </c>
      <c r="M3" s="9" t="s">
        <v>11</v>
      </c>
      <c r="N3" s="9" t="s">
        <v>12</v>
      </c>
      <c r="O3" s="9" t="s">
        <v>13</v>
      </c>
      <c r="P3" s="9" t="s">
        <v>11</v>
      </c>
      <c r="Q3" s="9" t="s">
        <v>12</v>
      </c>
      <c r="R3" s="9" t="s">
        <v>13</v>
      </c>
      <c r="S3" s="9" t="s">
        <v>11</v>
      </c>
      <c r="T3" s="9" t="s">
        <v>12</v>
      </c>
      <c r="U3" s="9" t="s">
        <v>13</v>
      </c>
      <c r="V3" s="9" t="s">
        <v>11</v>
      </c>
      <c r="W3" s="9" t="s">
        <v>12</v>
      </c>
      <c r="X3" s="9" t="s">
        <v>13</v>
      </c>
    </row>
    <row r="4" spans="1:24" s="3" customFormat="1" x14ac:dyDescent="0.35">
      <c r="A4" s="10">
        <v>46124</v>
      </c>
      <c r="B4" s="10">
        <v>46124.541666666664</v>
      </c>
      <c r="C4" s="11">
        <f>B4-A4</f>
        <v>0.54166666666424135</v>
      </c>
      <c r="D4" s="2">
        <v>626.50000000002547</v>
      </c>
      <c r="E4" s="10">
        <v>46124.958333333336</v>
      </c>
      <c r="F4" s="10">
        <v>46124.999988425923</v>
      </c>
      <c r="G4" s="11">
        <f t="shared" ref="G4:G41" si="0">F4-E4</f>
        <v>4.1655092587461695E-2</v>
      </c>
      <c r="H4" s="2">
        <v>65.299999999988358</v>
      </c>
      <c r="I4" s="10">
        <v>46124</v>
      </c>
      <c r="J4" s="10">
        <v>46124.999988425923</v>
      </c>
      <c r="K4" s="11">
        <f>J4-I4</f>
        <v>0.99998842592322035</v>
      </c>
      <c r="L4" s="2">
        <v>1090</v>
      </c>
      <c r="M4" s="10">
        <v>46124</v>
      </c>
      <c r="N4" s="10">
        <v>46124.999988425923</v>
      </c>
      <c r="O4" s="11">
        <f>N4-M4</f>
        <v>0.99998842592322035</v>
      </c>
      <c r="P4" s="12"/>
      <c r="Q4" s="12"/>
      <c r="R4" s="11"/>
      <c r="S4" s="10">
        <v>46124.458333333336</v>
      </c>
      <c r="T4" s="10">
        <v>46124.865266203706</v>
      </c>
      <c r="U4" s="11">
        <f>T4-S4</f>
        <v>0.40693287036992842</v>
      </c>
      <c r="V4" s="10"/>
      <c r="W4" s="10"/>
      <c r="X4" s="11">
        <v>0</v>
      </c>
    </row>
    <row r="5" spans="1:24" s="3" customFormat="1" x14ac:dyDescent="0.35">
      <c r="A5" s="10">
        <v>46125</v>
      </c>
      <c r="B5" s="10">
        <v>46125.999988425923</v>
      </c>
      <c r="C5" s="11">
        <f>B5-A5</f>
        <v>0.99998842592322035</v>
      </c>
      <c r="D5" s="2">
        <v>1204.5000000000691</v>
      </c>
      <c r="E5" s="10">
        <v>46125</v>
      </c>
      <c r="F5" s="10">
        <v>46125.999988425923</v>
      </c>
      <c r="G5" s="11">
        <f t="shared" si="0"/>
        <v>0.99998842592322035</v>
      </c>
      <c r="H5" s="2">
        <v>936.80000000001746</v>
      </c>
      <c r="I5" s="10">
        <v>46125</v>
      </c>
      <c r="J5" s="10">
        <v>46125.999988368058</v>
      </c>
      <c r="K5" s="11">
        <f>J5-I5</f>
        <v>0.99998836805752944</v>
      </c>
      <c r="L5" s="2">
        <v>1348.4000000000233</v>
      </c>
      <c r="M5" s="10">
        <v>46125</v>
      </c>
      <c r="N5" s="10">
        <v>46125.999988368058</v>
      </c>
      <c r="O5" s="11">
        <f>N5-M5</f>
        <v>0.99998836805752944</v>
      </c>
      <c r="P5" s="12"/>
      <c r="Q5" s="12"/>
      <c r="R5" s="11"/>
      <c r="S5" s="10">
        <v>46125.458333333336</v>
      </c>
      <c r="T5" s="10">
        <v>46125.871527777781</v>
      </c>
      <c r="U5" s="11">
        <f>T5-S5</f>
        <v>0.41319444444525288</v>
      </c>
      <c r="V5" s="10"/>
      <c r="W5" s="10"/>
      <c r="X5" s="11">
        <v>0</v>
      </c>
    </row>
    <row r="6" spans="1:24" s="3" customFormat="1" x14ac:dyDescent="0.35">
      <c r="A6" s="10">
        <v>46126</v>
      </c>
      <c r="B6" s="10">
        <v>46126.999988425923</v>
      </c>
      <c r="C6" s="11">
        <f>B6-A6</f>
        <v>0.99998842592322035</v>
      </c>
      <c r="D6" s="2">
        <v>1481.3999999999542</v>
      </c>
      <c r="E6" s="10">
        <v>46126</v>
      </c>
      <c r="F6" s="10">
        <v>46126.743055555555</v>
      </c>
      <c r="G6" s="11">
        <f t="shared" si="0"/>
        <v>0.74305555555474712</v>
      </c>
      <c r="H6" s="2">
        <v>788.9999999999709</v>
      </c>
      <c r="I6" s="10">
        <v>46126</v>
      </c>
      <c r="J6" s="10">
        <v>46126.999988368058</v>
      </c>
      <c r="K6" s="11">
        <f>J6-I6</f>
        <v>0.99998836805752944</v>
      </c>
      <c r="L6" s="2">
        <v>1292.2000000000116</v>
      </c>
      <c r="M6" s="10">
        <v>46126</v>
      </c>
      <c r="N6" s="10">
        <v>46126.999988368058</v>
      </c>
      <c r="O6" s="11">
        <f>N6-M6</f>
        <v>0.99998836805752944</v>
      </c>
      <c r="P6" s="12"/>
      <c r="Q6" s="12"/>
      <c r="R6" s="11"/>
      <c r="S6" s="10">
        <v>46126.458333333336</v>
      </c>
      <c r="T6" s="10">
        <v>46126.871527777781</v>
      </c>
      <c r="U6" s="11">
        <f>T6-S6</f>
        <v>0.41319444444525288</v>
      </c>
      <c r="V6" s="10"/>
      <c r="W6" s="10"/>
      <c r="X6" s="11">
        <v>0</v>
      </c>
    </row>
    <row r="7" spans="1:24" s="3" customFormat="1" x14ac:dyDescent="0.35">
      <c r="A7" s="10">
        <v>46127</v>
      </c>
      <c r="B7" s="10">
        <v>46127.999988368058</v>
      </c>
      <c r="C7" s="11">
        <f>B7-A7</f>
        <v>0.99998836805752944</v>
      </c>
      <c r="D7" s="2">
        <v>1375.9000000000233</v>
      </c>
      <c r="E7" s="10">
        <v>46126.902777777781</v>
      </c>
      <c r="F7" s="10">
        <v>46126.999988425923</v>
      </c>
      <c r="G7" s="11">
        <f t="shared" si="0"/>
        <v>9.7210648142208811E-2</v>
      </c>
      <c r="I7" s="10">
        <v>46127</v>
      </c>
      <c r="J7" s="10">
        <v>46127.69027777778</v>
      </c>
      <c r="K7" s="11">
        <f t="shared" ref="K7:K37" si="1">J7-I7</f>
        <v>0.69027777777955635</v>
      </c>
      <c r="L7" s="2">
        <v>817.90000000002328</v>
      </c>
      <c r="M7" s="10">
        <v>46127</v>
      </c>
      <c r="N7" s="10">
        <v>46127.999988368058</v>
      </c>
      <c r="O7" s="11">
        <f t="shared" ref="O7:O38" si="2">N7-M7</f>
        <v>0.99998836805752944</v>
      </c>
      <c r="P7" s="12"/>
      <c r="Q7" s="12"/>
      <c r="R7" s="11"/>
      <c r="S7" s="10">
        <v>46127.458333333336</v>
      </c>
      <c r="T7" s="10">
        <v>46127.999988425923</v>
      </c>
      <c r="U7" s="11">
        <f t="shared" ref="U7:U20" si="3">T7-S7</f>
        <v>0.5416550925874617</v>
      </c>
      <c r="V7" s="13"/>
      <c r="W7" s="10"/>
      <c r="X7" s="14">
        <v>0</v>
      </c>
    </row>
    <row r="8" spans="1:24" s="3" customFormat="1" x14ac:dyDescent="0.35">
      <c r="A8" s="10">
        <v>46128</v>
      </c>
      <c r="B8" s="10">
        <v>46128.999988368058</v>
      </c>
      <c r="C8" s="11">
        <f>B8-A8</f>
        <v>0.99998836805752944</v>
      </c>
      <c r="D8" s="2">
        <v>1494.9000000000233</v>
      </c>
      <c r="E8" s="10">
        <v>46127</v>
      </c>
      <c r="F8" s="10">
        <v>46127.176388888889</v>
      </c>
      <c r="G8" s="11">
        <f t="shared" si="0"/>
        <v>0.17638888888905058</v>
      </c>
      <c r="H8" s="2">
        <v>898.20000000001164</v>
      </c>
      <c r="I8" s="10">
        <v>46128</v>
      </c>
      <c r="J8" s="10">
        <v>46128</v>
      </c>
      <c r="K8" s="11">
        <f t="shared" si="1"/>
        <v>0</v>
      </c>
      <c r="L8" s="2">
        <v>230.69999999995343</v>
      </c>
      <c r="M8" s="10">
        <v>46128</v>
      </c>
      <c r="N8" s="10">
        <v>46128.999988368058</v>
      </c>
      <c r="O8" s="11">
        <f t="shared" si="2"/>
        <v>0.99998836805752944</v>
      </c>
      <c r="P8" s="12"/>
      <c r="Q8" s="12"/>
      <c r="R8" s="11"/>
      <c r="S8" s="10">
        <v>46128</v>
      </c>
      <c r="T8" s="10">
        <v>46128.999988368058</v>
      </c>
      <c r="U8" s="11">
        <f t="shared" si="3"/>
        <v>0.99998836805752944</v>
      </c>
      <c r="V8" s="10">
        <v>46128.791666666664</v>
      </c>
      <c r="W8" s="10">
        <v>46128.999988368058</v>
      </c>
      <c r="X8" s="11">
        <f t="shared" ref="X8:X38" si="4">W8-V8</f>
        <v>0.20832170139328809</v>
      </c>
    </row>
    <row r="9" spans="1:24" s="3" customFormat="1" x14ac:dyDescent="0.35">
      <c r="A9" s="10">
        <v>46129</v>
      </c>
      <c r="B9" s="10">
        <v>46129.999988368058</v>
      </c>
      <c r="C9" s="11">
        <f t="shared" ref="C9:C38" si="5">B9-A9</f>
        <v>0.99998836805752944</v>
      </c>
      <c r="D9" s="2">
        <v>1457.9999999999272</v>
      </c>
      <c r="E9" s="10">
        <v>46127.375</v>
      </c>
      <c r="F9" s="10">
        <v>46127.999305555553</v>
      </c>
      <c r="G9" s="11">
        <f t="shared" si="0"/>
        <v>0.62430555555329192</v>
      </c>
      <c r="I9" s="10">
        <v>46129</v>
      </c>
      <c r="J9" s="10">
        <v>46129.041666666664</v>
      </c>
      <c r="K9" s="11">
        <f t="shared" si="1"/>
        <v>4.1666666664241347E-2</v>
      </c>
      <c r="L9" s="2">
        <v>0</v>
      </c>
      <c r="M9" s="10">
        <v>46129</v>
      </c>
      <c r="N9" s="10">
        <v>46129.999988368058</v>
      </c>
      <c r="O9" s="11">
        <f t="shared" si="2"/>
        <v>0.99998836805752944</v>
      </c>
      <c r="P9" s="12"/>
      <c r="Q9" s="12"/>
      <c r="R9" s="11"/>
      <c r="S9" s="10">
        <v>46129</v>
      </c>
      <c r="T9" s="10">
        <v>46129.999988368058</v>
      </c>
      <c r="U9" s="11">
        <f t="shared" si="3"/>
        <v>0.99998836805752944</v>
      </c>
      <c r="V9" s="10">
        <v>46129</v>
      </c>
      <c r="W9" s="10">
        <v>46129.999988368058</v>
      </c>
      <c r="X9" s="11">
        <f t="shared" si="4"/>
        <v>0.99998836805752944</v>
      </c>
    </row>
    <row r="10" spans="1:24" x14ac:dyDescent="0.35">
      <c r="A10" s="10">
        <v>46130</v>
      </c>
      <c r="B10" s="10">
        <v>46130.999988368058</v>
      </c>
      <c r="C10" s="11">
        <f t="shared" si="5"/>
        <v>0.99998836805752944</v>
      </c>
      <c r="D10" s="2">
        <v>1389.600000000024</v>
      </c>
      <c r="E10" s="10">
        <v>46128</v>
      </c>
      <c r="F10" s="10">
        <v>46128.999305497688</v>
      </c>
      <c r="G10" s="11">
        <f t="shared" si="0"/>
        <v>0.99930549768760102</v>
      </c>
      <c r="H10" s="2">
        <v>842.89999999999418</v>
      </c>
      <c r="I10" s="10">
        <v>46130</v>
      </c>
      <c r="J10" s="10">
        <v>46130</v>
      </c>
      <c r="K10" s="11">
        <f t="shared" si="1"/>
        <v>0</v>
      </c>
      <c r="L10" s="2">
        <v>0</v>
      </c>
      <c r="M10" s="10">
        <v>46130</v>
      </c>
      <c r="N10" s="10">
        <v>46130.999988368058</v>
      </c>
      <c r="O10" s="11">
        <f t="shared" si="2"/>
        <v>0.99998836805752944</v>
      </c>
      <c r="P10" s="12"/>
      <c r="Q10" s="12"/>
      <c r="R10" s="11"/>
      <c r="S10" s="10">
        <v>46130</v>
      </c>
      <c r="T10" s="10">
        <v>46130.881944444445</v>
      </c>
      <c r="U10" s="11">
        <f t="shared" si="3"/>
        <v>0.88194444444525288</v>
      </c>
      <c r="V10" s="10">
        <v>46130</v>
      </c>
      <c r="W10" s="10">
        <v>46130.999988368058</v>
      </c>
      <c r="X10" s="11">
        <f t="shared" si="4"/>
        <v>0.99998836805752944</v>
      </c>
    </row>
    <row r="11" spans="1:24" x14ac:dyDescent="0.35">
      <c r="A11" s="10">
        <v>46131</v>
      </c>
      <c r="B11" s="10">
        <v>46131.999988368058</v>
      </c>
      <c r="C11" s="11">
        <f t="shared" si="5"/>
        <v>0.99998836805752944</v>
      </c>
      <c r="D11" s="2">
        <v>1121.4000000000233</v>
      </c>
      <c r="E11" s="10">
        <v>46129</v>
      </c>
      <c r="F11" s="10">
        <v>46129.999305497688</v>
      </c>
      <c r="G11" s="11">
        <f t="shared" si="0"/>
        <v>0.99930549768760102</v>
      </c>
      <c r="H11" s="2">
        <v>956.39999999999418</v>
      </c>
      <c r="I11" s="10">
        <v>46131</v>
      </c>
      <c r="J11" s="10">
        <v>46131</v>
      </c>
      <c r="K11" s="11">
        <f t="shared" si="1"/>
        <v>0</v>
      </c>
      <c r="L11" s="2">
        <v>0</v>
      </c>
      <c r="M11" s="10">
        <v>46131</v>
      </c>
      <c r="N11" s="10">
        <v>46131.999988368058</v>
      </c>
      <c r="O11" s="11">
        <f t="shared" si="2"/>
        <v>0.99998836805752944</v>
      </c>
      <c r="P11" s="12"/>
      <c r="Q11" s="12"/>
      <c r="R11" s="11"/>
      <c r="S11" s="10">
        <v>46131</v>
      </c>
      <c r="T11" s="10">
        <v>46131</v>
      </c>
      <c r="U11" s="11">
        <f t="shared" si="3"/>
        <v>0</v>
      </c>
      <c r="V11" s="10">
        <v>46131</v>
      </c>
      <c r="W11" s="10">
        <v>46131.999988368058</v>
      </c>
      <c r="X11" s="11">
        <f t="shared" si="4"/>
        <v>0.99998836805752944</v>
      </c>
    </row>
    <row r="12" spans="1:24" x14ac:dyDescent="0.35">
      <c r="A12" s="10">
        <v>46132</v>
      </c>
      <c r="B12" s="10">
        <v>46132.999988368058</v>
      </c>
      <c r="C12" s="11">
        <f t="shared" si="5"/>
        <v>0.99998836805752944</v>
      </c>
      <c r="D12" s="2">
        <v>1483.4999999999527</v>
      </c>
      <c r="E12" s="10">
        <v>46130</v>
      </c>
      <c r="F12" s="10">
        <v>46130.999305497688</v>
      </c>
      <c r="G12" s="11">
        <f t="shared" si="0"/>
        <v>0.99930549768760102</v>
      </c>
      <c r="H12" s="2">
        <v>424.70000000001164</v>
      </c>
      <c r="I12" s="10">
        <v>46132.646527777775</v>
      </c>
      <c r="J12" s="10">
        <v>46132.999988425923</v>
      </c>
      <c r="K12" s="11">
        <f t="shared" si="1"/>
        <v>0.35346064814802958</v>
      </c>
      <c r="L12" s="2">
        <v>0</v>
      </c>
      <c r="M12" s="10">
        <v>46132</v>
      </c>
      <c r="N12" s="10">
        <v>46132.999988368058</v>
      </c>
      <c r="O12" s="11">
        <f t="shared" si="2"/>
        <v>0.99998836805752944</v>
      </c>
      <c r="P12" s="12"/>
      <c r="Q12" s="12"/>
      <c r="R12" s="11"/>
      <c r="S12" s="10">
        <v>46132.458333333336</v>
      </c>
      <c r="T12" s="10">
        <v>46132.893043981479</v>
      </c>
      <c r="U12" s="11">
        <f t="shared" si="3"/>
        <v>0.434710648143664</v>
      </c>
      <c r="V12" s="10">
        <v>46132</v>
      </c>
      <c r="W12" s="10">
        <v>46132.999988368058</v>
      </c>
      <c r="X12" s="11">
        <f t="shared" si="4"/>
        <v>0.99998836805752944</v>
      </c>
    </row>
    <row r="13" spans="1:24" x14ac:dyDescent="0.35">
      <c r="A13" s="10">
        <v>46133</v>
      </c>
      <c r="B13" s="10">
        <v>46133.999988368058</v>
      </c>
      <c r="C13" s="11">
        <f t="shared" si="5"/>
        <v>0.99998836805752944</v>
      </c>
      <c r="D13" s="2">
        <v>1457.2000000000262</v>
      </c>
      <c r="E13" s="10">
        <v>46131</v>
      </c>
      <c r="F13" s="10">
        <v>46131.999305497688</v>
      </c>
      <c r="G13" s="11">
        <f t="shared" si="0"/>
        <v>0.99930549768760102</v>
      </c>
      <c r="H13" s="2">
        <v>889.5</v>
      </c>
      <c r="I13" s="10">
        <v>46133</v>
      </c>
      <c r="J13" s="10">
        <v>46133.999988368058</v>
      </c>
      <c r="K13" s="11">
        <f t="shared" si="1"/>
        <v>0.99998836805752944</v>
      </c>
      <c r="L13" s="2">
        <v>1242.2999999999884</v>
      </c>
      <c r="M13" s="10">
        <v>46133</v>
      </c>
      <c r="N13" s="10">
        <v>46133.900682870371</v>
      </c>
      <c r="O13" s="11">
        <f t="shared" si="2"/>
        <v>0.90068287037138361</v>
      </c>
      <c r="P13" s="12"/>
      <c r="Q13" s="12"/>
      <c r="R13" s="11"/>
      <c r="S13" s="10">
        <v>46133.458333333336</v>
      </c>
      <c r="T13" s="10">
        <v>46133.875</v>
      </c>
      <c r="U13" s="11">
        <f t="shared" si="3"/>
        <v>0.41666666666424135</v>
      </c>
      <c r="V13" s="10">
        <v>46133</v>
      </c>
      <c r="W13" s="10">
        <v>46133.999988368058</v>
      </c>
      <c r="X13" s="11">
        <f t="shared" si="4"/>
        <v>0.99998836805752944</v>
      </c>
    </row>
    <row r="14" spans="1:24" x14ac:dyDescent="0.35">
      <c r="A14" s="10">
        <v>46134</v>
      </c>
      <c r="B14" s="10">
        <v>46134.999988368058</v>
      </c>
      <c r="C14" s="11">
        <f t="shared" si="5"/>
        <v>0.99998836805752944</v>
      </c>
      <c r="D14" s="2">
        <v>1435.4000000000233</v>
      </c>
      <c r="E14" s="10">
        <v>46132</v>
      </c>
      <c r="F14" s="10">
        <v>46132.999305497688</v>
      </c>
      <c r="G14" s="11">
        <f t="shared" si="0"/>
        <v>0.99930549768760102</v>
      </c>
      <c r="H14" s="2">
        <v>1329.3999999999942</v>
      </c>
      <c r="I14" s="10">
        <v>46134</v>
      </c>
      <c r="J14" s="10">
        <v>46134.999988368058</v>
      </c>
      <c r="K14" s="11">
        <f t="shared" si="1"/>
        <v>0.99998836805752944</v>
      </c>
      <c r="L14" s="2">
        <v>1245.4000000000233</v>
      </c>
      <c r="M14" s="10">
        <v>46134</v>
      </c>
      <c r="N14" s="10">
        <v>46134</v>
      </c>
      <c r="O14" s="11">
        <f t="shared" si="2"/>
        <v>0</v>
      </c>
      <c r="P14" s="12"/>
      <c r="Q14" s="12"/>
      <c r="R14" s="11"/>
      <c r="S14" s="10">
        <v>46134.479166666664</v>
      </c>
      <c r="T14" s="10">
        <v>46134.861111111109</v>
      </c>
      <c r="U14" s="11">
        <f t="shared" si="3"/>
        <v>0.38194444444525288</v>
      </c>
      <c r="V14" s="10">
        <v>46134</v>
      </c>
      <c r="W14" s="10">
        <v>46134.999988368058</v>
      </c>
      <c r="X14" s="11">
        <f t="shared" si="4"/>
        <v>0.99998836805752944</v>
      </c>
    </row>
    <row r="15" spans="1:24" x14ac:dyDescent="0.35">
      <c r="A15" s="10">
        <v>46135</v>
      </c>
      <c r="B15" s="10">
        <v>46135.999988368058</v>
      </c>
      <c r="C15" s="11">
        <f t="shared" si="5"/>
        <v>0.99998836805752944</v>
      </c>
      <c r="D15" s="2">
        <v>1305.5999999999513</v>
      </c>
      <c r="E15" s="10">
        <v>46133</v>
      </c>
      <c r="F15" s="10">
        <v>46133.72013883102</v>
      </c>
      <c r="G15" s="11">
        <f t="shared" si="0"/>
        <v>0.72013883102044929</v>
      </c>
      <c r="H15" s="2">
        <v>0</v>
      </c>
      <c r="I15" s="10">
        <v>46135</v>
      </c>
      <c r="J15" s="10">
        <v>46135.999988368058</v>
      </c>
      <c r="K15" s="11">
        <f t="shared" si="1"/>
        <v>0.99998836805752944</v>
      </c>
      <c r="L15" s="2">
        <v>1328.2000000000116</v>
      </c>
      <c r="M15" s="10">
        <v>46135</v>
      </c>
      <c r="N15" s="10">
        <v>46135</v>
      </c>
      <c r="O15" s="11">
        <f t="shared" si="2"/>
        <v>0</v>
      </c>
      <c r="P15" s="12"/>
      <c r="Q15" s="12"/>
      <c r="R15" s="11"/>
      <c r="S15" s="10">
        <v>46135.479166666664</v>
      </c>
      <c r="T15" s="10">
        <v>46135.90625</v>
      </c>
      <c r="U15" s="11">
        <f t="shared" si="3"/>
        <v>0.42708333333575865</v>
      </c>
      <c r="V15" s="10">
        <v>46135</v>
      </c>
      <c r="W15" s="10">
        <v>46135.999988368058</v>
      </c>
      <c r="X15" s="11">
        <f t="shared" si="4"/>
        <v>0.99998836805752944</v>
      </c>
    </row>
    <row r="16" spans="1:24" x14ac:dyDescent="0.35">
      <c r="A16" s="10">
        <v>46136</v>
      </c>
      <c r="B16" s="10">
        <v>46136.999988368058</v>
      </c>
      <c r="C16" s="11">
        <f t="shared" si="5"/>
        <v>0.99998836805752944</v>
      </c>
      <c r="D16" s="2">
        <v>1380.0000000000691</v>
      </c>
      <c r="E16" s="10">
        <v>46134.302083333336</v>
      </c>
      <c r="F16" s="10">
        <v>46134.999988425923</v>
      </c>
      <c r="G16" s="11">
        <f t="shared" si="0"/>
        <v>0.6979050925874617</v>
      </c>
      <c r="H16" s="2">
        <v>1606.2999999999884</v>
      </c>
      <c r="I16" s="10">
        <v>46136</v>
      </c>
      <c r="J16" s="10">
        <v>46136.999988368058</v>
      </c>
      <c r="K16" s="11">
        <f t="shared" si="1"/>
        <v>0.99998836805752944</v>
      </c>
      <c r="L16" s="2">
        <v>1307.3999999999651</v>
      </c>
      <c r="M16" s="10">
        <v>46136</v>
      </c>
      <c r="N16" s="10">
        <v>46136</v>
      </c>
      <c r="O16" s="11">
        <f t="shared" si="2"/>
        <v>0</v>
      </c>
      <c r="P16" s="12"/>
      <c r="Q16" s="12"/>
      <c r="R16" s="11"/>
      <c r="S16" s="10">
        <v>46136.489583333336</v>
      </c>
      <c r="T16" s="10">
        <v>46136.871527777781</v>
      </c>
      <c r="U16" s="11">
        <f t="shared" si="3"/>
        <v>0.38194444444525288</v>
      </c>
      <c r="V16" s="10">
        <v>46136</v>
      </c>
      <c r="W16" s="10">
        <v>46136.999988368058</v>
      </c>
      <c r="X16" s="11">
        <f t="shared" si="4"/>
        <v>0.99998836805752944</v>
      </c>
    </row>
    <row r="17" spans="1:24" x14ac:dyDescent="0.35">
      <c r="A17" s="10">
        <v>46137</v>
      </c>
      <c r="B17" s="10">
        <v>46137.999988425923</v>
      </c>
      <c r="C17" s="11">
        <f t="shared" si="5"/>
        <v>0.99998842592322035</v>
      </c>
      <c r="D17" s="2">
        <v>975.99999999997817</v>
      </c>
      <c r="E17" s="10">
        <v>46135</v>
      </c>
      <c r="F17" s="10">
        <v>46135.999988368058</v>
      </c>
      <c r="G17" s="11">
        <f t="shared" si="0"/>
        <v>0.99998836805752944</v>
      </c>
      <c r="H17" s="2">
        <v>1073.1000000000349</v>
      </c>
      <c r="I17" s="10">
        <v>46137</v>
      </c>
      <c r="J17" s="10">
        <v>46137.999988368058</v>
      </c>
      <c r="K17" s="11">
        <f t="shared" si="1"/>
        <v>0.99998836805752944</v>
      </c>
      <c r="L17" s="2">
        <v>1206.9000000000233</v>
      </c>
      <c r="M17" s="10">
        <v>46137</v>
      </c>
      <c r="N17" s="10">
        <v>46137</v>
      </c>
      <c r="O17" s="11">
        <f t="shared" si="2"/>
        <v>0</v>
      </c>
      <c r="P17" s="15">
        <v>46137.770833333336</v>
      </c>
      <c r="Q17" s="15">
        <v>46137.999988425923</v>
      </c>
      <c r="R17" s="11">
        <f t="shared" ref="R17:R38" si="6">Q17-P17</f>
        <v>0.2291550925874617</v>
      </c>
      <c r="S17" s="10">
        <v>46137.475694444445</v>
      </c>
      <c r="T17" s="10">
        <v>46137.999988425923</v>
      </c>
      <c r="U17" s="11">
        <f t="shared" si="3"/>
        <v>0.52429398147796746</v>
      </c>
      <c r="V17" s="10">
        <v>46137</v>
      </c>
      <c r="W17" s="10">
        <v>46137.999988368058</v>
      </c>
      <c r="X17" s="11">
        <f t="shared" si="4"/>
        <v>0.99998836805752944</v>
      </c>
    </row>
    <row r="18" spans="1:24" x14ac:dyDescent="0.35">
      <c r="A18" s="10">
        <v>46138</v>
      </c>
      <c r="B18" s="10">
        <v>46138.164583333331</v>
      </c>
      <c r="C18" s="11">
        <f t="shared" si="5"/>
        <v>0.16458333333139308</v>
      </c>
      <c r="D18" s="2">
        <v>831.30000000002474</v>
      </c>
      <c r="E18" s="10">
        <v>46136</v>
      </c>
      <c r="F18" s="10">
        <v>46136.999988368058</v>
      </c>
      <c r="G18" s="11">
        <f t="shared" si="0"/>
        <v>0.99998836805752944</v>
      </c>
      <c r="H18" s="2">
        <v>916.59999999997672</v>
      </c>
      <c r="I18" s="10">
        <v>46138</v>
      </c>
      <c r="J18" s="10">
        <v>46138.999988368058</v>
      </c>
      <c r="K18" s="11">
        <f t="shared" si="1"/>
        <v>0.99998836805752944</v>
      </c>
      <c r="L18" s="2">
        <v>903.5</v>
      </c>
      <c r="M18" s="10">
        <v>46138</v>
      </c>
      <c r="N18" s="10">
        <v>46138</v>
      </c>
      <c r="O18" s="11">
        <f t="shared" si="2"/>
        <v>0</v>
      </c>
      <c r="P18" s="15">
        <v>46138</v>
      </c>
      <c r="Q18" s="15">
        <v>46138.999988368058</v>
      </c>
      <c r="R18" s="11">
        <f t="shared" si="6"/>
        <v>0.99998836805752944</v>
      </c>
      <c r="S18" s="10">
        <v>46138</v>
      </c>
      <c r="T18" s="10">
        <v>46138.527777777781</v>
      </c>
      <c r="U18" s="11">
        <f t="shared" si="3"/>
        <v>0.52777777778101154</v>
      </c>
      <c r="V18" s="10">
        <v>46138</v>
      </c>
      <c r="W18" s="10">
        <v>46138.999988368058</v>
      </c>
      <c r="X18" s="11">
        <f t="shared" si="4"/>
        <v>0.99998836805752944</v>
      </c>
    </row>
    <row r="19" spans="1:24" x14ac:dyDescent="0.35">
      <c r="A19" s="10">
        <v>46138.380555555559</v>
      </c>
      <c r="B19" s="10">
        <v>46138.999988425923</v>
      </c>
      <c r="C19" s="11">
        <f t="shared" si="5"/>
        <v>0.61943287036410766</v>
      </c>
      <c r="E19" s="10">
        <v>46137</v>
      </c>
      <c r="F19" s="10">
        <v>46137.999988368058</v>
      </c>
      <c r="G19" s="11">
        <f t="shared" si="0"/>
        <v>0.99998836805752944</v>
      </c>
      <c r="H19" s="2">
        <v>1030.7000000000116</v>
      </c>
      <c r="I19" s="10">
        <v>46139</v>
      </c>
      <c r="J19" s="10">
        <v>46139.999988368058</v>
      </c>
      <c r="K19" s="11">
        <f t="shared" si="1"/>
        <v>0.99998836805752944</v>
      </c>
      <c r="L19" s="2">
        <v>993.20000000001164</v>
      </c>
      <c r="M19" s="10">
        <v>46139</v>
      </c>
      <c r="N19" s="10">
        <v>46139</v>
      </c>
      <c r="O19" s="11">
        <f t="shared" si="2"/>
        <v>0</v>
      </c>
      <c r="P19" s="15">
        <v>46139</v>
      </c>
      <c r="Q19" s="15">
        <v>46139.999988368058</v>
      </c>
      <c r="R19" s="11">
        <f t="shared" si="6"/>
        <v>0.99998836805752944</v>
      </c>
      <c r="S19" s="10">
        <v>46139.447916666664</v>
      </c>
      <c r="T19" s="10">
        <v>46139.868055555555</v>
      </c>
      <c r="U19" s="11">
        <f t="shared" si="3"/>
        <v>0.42013888889050577</v>
      </c>
      <c r="V19" s="10">
        <v>46139</v>
      </c>
      <c r="W19" s="10">
        <v>46139.999988368058</v>
      </c>
      <c r="X19" s="11">
        <f t="shared" si="4"/>
        <v>0.99998836805752944</v>
      </c>
    </row>
    <row r="20" spans="1:24" x14ac:dyDescent="0.35">
      <c r="A20" s="10">
        <v>46139</v>
      </c>
      <c r="B20" s="10">
        <v>46139.166666666664</v>
      </c>
      <c r="C20" s="11">
        <f t="shared" si="5"/>
        <v>0.16666666666424135</v>
      </c>
      <c r="D20" s="2">
        <v>1077.4999999999272</v>
      </c>
      <c r="E20" s="10">
        <v>46138</v>
      </c>
      <c r="F20" s="10">
        <v>46138.609027777777</v>
      </c>
      <c r="G20" s="11">
        <f t="shared" si="0"/>
        <v>0.60902777777664596</v>
      </c>
      <c r="H20" s="2">
        <v>583.30000000001746</v>
      </c>
      <c r="I20" s="10">
        <v>46140</v>
      </c>
      <c r="J20" s="10">
        <v>46140.999988368058</v>
      </c>
      <c r="K20" s="11">
        <f t="shared" si="1"/>
        <v>0.99998836805752944</v>
      </c>
      <c r="L20" s="2">
        <v>968.5</v>
      </c>
      <c r="M20" s="10">
        <v>46140</v>
      </c>
      <c r="N20" s="10">
        <v>46140</v>
      </c>
      <c r="O20" s="11">
        <f t="shared" si="2"/>
        <v>0</v>
      </c>
      <c r="P20" s="15">
        <v>46140</v>
      </c>
      <c r="Q20" s="15">
        <v>46140.999988368058</v>
      </c>
      <c r="R20" s="11">
        <f t="shared" si="6"/>
        <v>0.99998836805752944</v>
      </c>
      <c r="S20" s="10">
        <v>46140.489583333336</v>
      </c>
      <c r="T20" s="1"/>
      <c r="U20" s="11">
        <f t="shared" si="3"/>
        <v>-46140.489583333336</v>
      </c>
      <c r="V20" s="10">
        <v>46140</v>
      </c>
      <c r="W20" s="10">
        <v>46140.999988368058</v>
      </c>
      <c r="X20" s="11">
        <f t="shared" si="4"/>
        <v>0.99998836805752944</v>
      </c>
    </row>
    <row r="21" spans="1:24" x14ac:dyDescent="0.35">
      <c r="A21" s="10">
        <v>46139.291666666664</v>
      </c>
      <c r="B21" s="10">
        <v>46139.999988425923</v>
      </c>
      <c r="C21" s="11">
        <f t="shared" si="5"/>
        <v>0.708321759258979</v>
      </c>
      <c r="E21" s="10">
        <v>46139.302083333336</v>
      </c>
      <c r="F21" s="10">
        <v>46139.999988425923</v>
      </c>
      <c r="G21" s="11">
        <f t="shared" si="0"/>
        <v>0.6979050925874617</v>
      </c>
      <c r="H21" s="2">
        <v>709.29999999995925</v>
      </c>
      <c r="I21" s="10">
        <v>46141</v>
      </c>
      <c r="J21" s="10">
        <v>46141.999988368058</v>
      </c>
      <c r="K21" s="11">
        <f t="shared" si="1"/>
        <v>0.99998836805752944</v>
      </c>
      <c r="L21" s="2">
        <v>988.59999999997672</v>
      </c>
      <c r="M21" s="10">
        <v>46141</v>
      </c>
      <c r="N21" s="10">
        <v>46141</v>
      </c>
      <c r="O21" s="11">
        <f t="shared" si="2"/>
        <v>0</v>
      </c>
      <c r="P21" s="15">
        <v>46141</v>
      </c>
      <c r="Q21" s="15">
        <v>46141.999988368058</v>
      </c>
      <c r="R21" s="11">
        <f t="shared" si="6"/>
        <v>0.99998836805752944</v>
      </c>
      <c r="S21" s="1"/>
      <c r="T21" s="1"/>
      <c r="U21" s="5"/>
      <c r="V21" s="10">
        <v>46141</v>
      </c>
      <c r="W21" s="10">
        <v>46141.999988368058</v>
      </c>
      <c r="X21" s="11">
        <f t="shared" si="4"/>
        <v>0.99998836805752944</v>
      </c>
    </row>
    <row r="22" spans="1:24" x14ac:dyDescent="0.35">
      <c r="A22" s="10">
        <v>46140</v>
      </c>
      <c r="B22" s="10">
        <v>46140.166666666664</v>
      </c>
      <c r="C22" s="11">
        <f t="shared" si="5"/>
        <v>0.16666666666424135</v>
      </c>
      <c r="D22" s="2">
        <v>1316.2999999999774</v>
      </c>
      <c r="E22" s="10">
        <v>46140</v>
      </c>
      <c r="F22" s="10">
        <v>46140.521516203706</v>
      </c>
      <c r="G22" s="11">
        <f t="shared" si="0"/>
        <v>0.52151620370568708</v>
      </c>
      <c r="H22" s="2">
        <v>466.80000000001746</v>
      </c>
      <c r="I22" s="10">
        <v>46142</v>
      </c>
      <c r="J22" s="10">
        <v>46142.999988368058</v>
      </c>
      <c r="K22" s="11">
        <f t="shared" si="1"/>
        <v>0.99998836805752944</v>
      </c>
      <c r="L22" s="2">
        <v>946.80000000004657</v>
      </c>
      <c r="M22" s="10">
        <v>46142</v>
      </c>
      <c r="N22" s="10">
        <v>46142</v>
      </c>
      <c r="O22" s="11">
        <f t="shared" si="2"/>
        <v>0</v>
      </c>
      <c r="P22" s="15">
        <v>46142</v>
      </c>
      <c r="Q22" s="15">
        <v>46142.999988368058</v>
      </c>
      <c r="R22" s="11">
        <f t="shared" si="6"/>
        <v>0.99998836805752944</v>
      </c>
      <c r="S22" s="1"/>
      <c r="T22" s="1"/>
      <c r="U22" s="5"/>
      <c r="V22" s="10">
        <v>46142</v>
      </c>
      <c r="W22" s="10">
        <v>46142.999988368058</v>
      </c>
      <c r="X22" s="11">
        <f t="shared" si="4"/>
        <v>0.99998836805752944</v>
      </c>
    </row>
    <row r="23" spans="1:24" x14ac:dyDescent="0.35">
      <c r="A23" s="10">
        <v>46140.291666666664</v>
      </c>
      <c r="B23" s="10">
        <v>46140.999988425923</v>
      </c>
      <c r="C23" s="11">
        <f t="shared" si="5"/>
        <v>0.708321759258979</v>
      </c>
      <c r="E23" s="10">
        <v>46141</v>
      </c>
      <c r="F23" s="10">
        <v>46141</v>
      </c>
      <c r="G23" s="11">
        <f t="shared" si="0"/>
        <v>0</v>
      </c>
      <c r="H23" s="2">
        <v>17.700000000011642</v>
      </c>
      <c r="I23" s="10">
        <v>46143</v>
      </c>
      <c r="J23" s="10">
        <v>46143.999988368058</v>
      </c>
      <c r="K23" s="11">
        <f t="shared" si="1"/>
        <v>0.99998836805752944</v>
      </c>
      <c r="L23" s="2">
        <v>880.69999999995343</v>
      </c>
      <c r="M23" s="10">
        <v>46143</v>
      </c>
      <c r="N23" s="10">
        <v>46143</v>
      </c>
      <c r="O23" s="11">
        <f t="shared" si="2"/>
        <v>0</v>
      </c>
      <c r="P23" s="15">
        <v>46143</v>
      </c>
      <c r="Q23" s="15">
        <v>46143.999988368058</v>
      </c>
      <c r="R23" s="11">
        <f t="shared" si="6"/>
        <v>0.99998836805752944</v>
      </c>
      <c r="S23" s="1"/>
      <c r="T23" s="1"/>
      <c r="U23" s="5"/>
      <c r="V23" s="10">
        <v>46143</v>
      </c>
      <c r="W23" s="10">
        <v>46143.999988368058</v>
      </c>
      <c r="X23" s="11">
        <f t="shared" si="4"/>
        <v>0.99998836805752944</v>
      </c>
    </row>
    <row r="24" spans="1:24" x14ac:dyDescent="0.35">
      <c r="A24" s="10">
        <v>46141</v>
      </c>
      <c r="B24" s="10">
        <v>46141.166666666664</v>
      </c>
      <c r="C24" s="11">
        <f t="shared" si="5"/>
        <v>0.16666666666424135</v>
      </c>
      <c r="D24" s="2">
        <v>1181.9000000000924</v>
      </c>
      <c r="E24" s="10">
        <v>46142</v>
      </c>
      <c r="F24" s="10">
        <v>46142</v>
      </c>
      <c r="G24" s="11">
        <f t="shared" si="0"/>
        <v>0</v>
      </c>
      <c r="H24" s="2">
        <v>17.900000000023283</v>
      </c>
      <c r="I24" s="10">
        <v>46144</v>
      </c>
      <c r="J24" s="10">
        <v>46144.999988368058</v>
      </c>
      <c r="K24" s="11">
        <f t="shared" si="1"/>
        <v>0.99998836805752944</v>
      </c>
      <c r="L24" s="2">
        <v>947.20000000001164</v>
      </c>
      <c r="M24" s="10">
        <v>46144</v>
      </c>
      <c r="N24" s="10">
        <v>46144</v>
      </c>
      <c r="O24" s="11">
        <f t="shared" si="2"/>
        <v>0</v>
      </c>
      <c r="P24" s="15">
        <v>46144</v>
      </c>
      <c r="Q24" s="15">
        <v>46144.999988368058</v>
      </c>
      <c r="R24" s="11">
        <f t="shared" si="6"/>
        <v>0.99998836805752944</v>
      </c>
      <c r="S24" s="1"/>
      <c r="T24" s="1"/>
      <c r="U24" s="5"/>
      <c r="V24" s="10">
        <v>46144</v>
      </c>
      <c r="W24" s="10">
        <v>46144.999988368058</v>
      </c>
      <c r="X24" s="11">
        <f t="shared" si="4"/>
        <v>0.99998836805752944</v>
      </c>
    </row>
    <row r="25" spans="1:24" x14ac:dyDescent="0.35">
      <c r="A25" s="10">
        <v>46141.291666666664</v>
      </c>
      <c r="B25" s="10">
        <v>46141.999988425923</v>
      </c>
      <c r="C25" s="11">
        <f t="shared" si="5"/>
        <v>0.708321759258979</v>
      </c>
      <c r="E25" s="10">
        <v>46143</v>
      </c>
      <c r="F25" s="10">
        <v>46143</v>
      </c>
      <c r="G25" s="11">
        <f t="shared" si="0"/>
        <v>0</v>
      </c>
      <c r="H25" s="2">
        <v>19.799999999959255</v>
      </c>
      <c r="I25" s="10">
        <v>46145</v>
      </c>
      <c r="J25" s="10">
        <v>46145.999988368058</v>
      </c>
      <c r="K25" s="11">
        <f t="shared" si="1"/>
        <v>0.99998836805752944</v>
      </c>
      <c r="L25" s="2">
        <v>625.29999999998836</v>
      </c>
      <c r="M25" s="10">
        <v>46145</v>
      </c>
      <c r="N25" s="10">
        <v>46145</v>
      </c>
      <c r="O25" s="11">
        <f t="shared" si="2"/>
        <v>0</v>
      </c>
      <c r="P25" s="15">
        <v>46145</v>
      </c>
      <c r="Q25" s="15">
        <v>46145.999988368058</v>
      </c>
      <c r="R25" s="11">
        <f t="shared" si="6"/>
        <v>0.99998836805752944</v>
      </c>
      <c r="S25" s="1"/>
      <c r="T25" s="1"/>
      <c r="U25" s="5"/>
      <c r="V25" s="10">
        <v>46145</v>
      </c>
      <c r="W25" s="10">
        <v>46145.999988368058</v>
      </c>
      <c r="X25" s="11">
        <f t="shared" si="4"/>
        <v>0.99998836805752944</v>
      </c>
    </row>
    <row r="26" spans="1:24" x14ac:dyDescent="0.35">
      <c r="A26" s="10">
        <v>46142</v>
      </c>
      <c r="B26" s="10">
        <v>46142.166666666664</v>
      </c>
      <c r="C26" s="11">
        <f t="shared" si="5"/>
        <v>0.16666666666424135</v>
      </c>
      <c r="D26" s="2">
        <v>1200.4999999999782</v>
      </c>
      <c r="E26" s="10">
        <v>46144</v>
      </c>
      <c r="F26" s="10">
        <v>46144</v>
      </c>
      <c r="G26" s="11">
        <f t="shared" si="0"/>
        <v>0</v>
      </c>
      <c r="H26" s="2">
        <v>0</v>
      </c>
      <c r="I26" s="10">
        <v>46146</v>
      </c>
      <c r="J26" s="10">
        <v>46146.166666666664</v>
      </c>
      <c r="K26" s="11">
        <f t="shared" si="1"/>
        <v>0.16666666666424135</v>
      </c>
      <c r="L26" s="2">
        <v>808.09999999997672</v>
      </c>
      <c r="M26" s="10">
        <v>46146</v>
      </c>
      <c r="N26" s="10">
        <v>46146</v>
      </c>
      <c r="O26" s="11">
        <f t="shared" si="2"/>
        <v>0</v>
      </c>
      <c r="P26" s="15">
        <v>46146</v>
      </c>
      <c r="Q26" s="15">
        <v>46146.999988368058</v>
      </c>
      <c r="R26" s="11">
        <f t="shared" si="6"/>
        <v>0.99998836805752944</v>
      </c>
      <c r="S26" s="1"/>
      <c r="T26" s="1"/>
      <c r="U26" s="5"/>
      <c r="V26" s="10">
        <v>46146</v>
      </c>
      <c r="W26" s="10">
        <v>46146.999988368058</v>
      </c>
      <c r="X26" s="11">
        <f t="shared" si="4"/>
        <v>0.99998836805752944</v>
      </c>
    </row>
    <row r="27" spans="1:24" x14ac:dyDescent="0.35">
      <c r="A27" s="10">
        <v>46142.291666666664</v>
      </c>
      <c r="B27" s="10">
        <v>46142.999988425923</v>
      </c>
      <c r="C27" s="11">
        <f t="shared" si="5"/>
        <v>0.708321759258979</v>
      </c>
      <c r="E27" s="10">
        <v>46145</v>
      </c>
      <c r="F27" s="10">
        <v>46145</v>
      </c>
      <c r="G27" s="11">
        <f t="shared" si="0"/>
        <v>0</v>
      </c>
      <c r="H27" s="2">
        <v>0</v>
      </c>
      <c r="I27" s="10">
        <v>46146.291666666664</v>
      </c>
      <c r="J27" s="10">
        <v>46146.999988425923</v>
      </c>
      <c r="K27" s="11">
        <f t="shared" si="1"/>
        <v>0.708321759258979</v>
      </c>
      <c r="M27" s="10">
        <v>46147</v>
      </c>
      <c r="N27" s="10">
        <v>46147</v>
      </c>
      <c r="O27" s="11">
        <f t="shared" si="2"/>
        <v>0</v>
      </c>
      <c r="P27" s="15">
        <v>46147</v>
      </c>
      <c r="Q27" s="15">
        <v>46147.999988368058</v>
      </c>
      <c r="R27" s="11">
        <f t="shared" si="6"/>
        <v>0.99998836805752944</v>
      </c>
      <c r="S27" s="1"/>
      <c r="T27" s="1"/>
      <c r="U27" s="5"/>
      <c r="V27" s="10">
        <v>46147</v>
      </c>
      <c r="W27" s="10">
        <v>46147.999988368058</v>
      </c>
      <c r="X27" s="11">
        <f t="shared" si="4"/>
        <v>0.99998836805752944</v>
      </c>
    </row>
    <row r="28" spans="1:24" x14ac:dyDescent="0.35">
      <c r="A28" s="10">
        <v>46143</v>
      </c>
      <c r="B28" s="10">
        <v>46143.166666666664</v>
      </c>
      <c r="C28" s="11">
        <f t="shared" si="5"/>
        <v>0.16666666666424135</v>
      </c>
      <c r="D28" s="2">
        <v>1191.2999999999302</v>
      </c>
      <c r="E28" s="10">
        <v>46146</v>
      </c>
      <c r="F28" s="10">
        <v>46146</v>
      </c>
      <c r="G28" s="11">
        <f t="shared" si="0"/>
        <v>0</v>
      </c>
      <c r="H28" s="2">
        <v>0</v>
      </c>
      <c r="I28" s="10">
        <v>46147</v>
      </c>
      <c r="J28" s="10">
        <v>46147.999988425923</v>
      </c>
      <c r="K28" s="11">
        <f t="shared" si="1"/>
        <v>0.99998842592322035</v>
      </c>
      <c r="L28" s="2">
        <v>972.40000000002306</v>
      </c>
      <c r="M28" s="10">
        <v>46148</v>
      </c>
      <c r="N28" s="10">
        <v>46148</v>
      </c>
      <c r="O28" s="11">
        <f t="shared" si="2"/>
        <v>0</v>
      </c>
      <c r="P28" s="15">
        <v>46148</v>
      </c>
      <c r="Q28" s="15">
        <v>46148.999988368058</v>
      </c>
      <c r="R28" s="11">
        <f t="shared" si="6"/>
        <v>0.99998836805752944</v>
      </c>
      <c r="S28" s="1"/>
      <c r="T28" s="1"/>
      <c r="U28" s="5"/>
      <c r="V28" s="10">
        <v>46148</v>
      </c>
      <c r="W28" s="10">
        <v>46148.999988368058</v>
      </c>
      <c r="X28" s="11">
        <f t="shared" si="4"/>
        <v>0.99998836805752944</v>
      </c>
    </row>
    <row r="29" spans="1:24" x14ac:dyDescent="0.35">
      <c r="A29" s="10">
        <v>46143.291666666664</v>
      </c>
      <c r="B29" s="10">
        <v>46143.999988425923</v>
      </c>
      <c r="C29" s="11">
        <f t="shared" si="5"/>
        <v>0.708321759258979</v>
      </c>
      <c r="E29" s="10">
        <v>46147</v>
      </c>
      <c r="F29" s="10">
        <v>46147</v>
      </c>
      <c r="G29" s="11">
        <f t="shared" si="0"/>
        <v>0</v>
      </c>
      <c r="H29" s="2">
        <v>0</v>
      </c>
      <c r="I29" s="10">
        <v>46148</v>
      </c>
      <c r="J29" s="10">
        <v>46148.999988425923</v>
      </c>
      <c r="K29" s="11">
        <f t="shared" si="1"/>
        <v>0.99998842592322035</v>
      </c>
      <c r="L29" s="2">
        <v>976.5</v>
      </c>
      <c r="M29" s="10">
        <v>46149</v>
      </c>
      <c r="N29" s="10">
        <v>46149</v>
      </c>
      <c r="O29" s="11">
        <f t="shared" si="2"/>
        <v>0</v>
      </c>
      <c r="P29" s="15">
        <v>46149</v>
      </c>
      <c r="Q29" s="15">
        <v>46149.999988368058</v>
      </c>
      <c r="R29" s="11">
        <f t="shared" si="6"/>
        <v>0.99998836805752944</v>
      </c>
      <c r="S29" s="1"/>
      <c r="T29" s="1"/>
      <c r="U29" s="5"/>
      <c r="V29" s="10">
        <v>46149</v>
      </c>
      <c r="W29" s="10">
        <v>46149.999988368058</v>
      </c>
      <c r="X29" s="11">
        <f t="shared" si="4"/>
        <v>0.99998836805752944</v>
      </c>
    </row>
    <row r="30" spans="1:24" x14ac:dyDescent="0.35">
      <c r="A30" s="10">
        <v>46144</v>
      </c>
      <c r="B30" s="10">
        <v>46144.166666666664</v>
      </c>
      <c r="C30" s="11">
        <f t="shared" si="5"/>
        <v>0.16666666666424135</v>
      </c>
      <c r="D30" s="2">
        <v>1162.1000000000458</v>
      </c>
      <c r="E30" s="10">
        <v>46148</v>
      </c>
      <c r="F30" s="10">
        <v>46148</v>
      </c>
      <c r="G30" s="11">
        <f t="shared" si="0"/>
        <v>0</v>
      </c>
      <c r="H30" s="2">
        <v>0</v>
      </c>
      <c r="I30" s="10">
        <v>46149</v>
      </c>
      <c r="J30" s="10">
        <v>46149.166666666664</v>
      </c>
      <c r="K30" s="11">
        <f t="shared" si="1"/>
        <v>0.16666666666424135</v>
      </c>
      <c r="L30" s="2">
        <v>877.79999999998836</v>
      </c>
      <c r="M30" s="10">
        <v>46150</v>
      </c>
      <c r="N30" s="10">
        <v>46150</v>
      </c>
      <c r="O30" s="11">
        <f t="shared" si="2"/>
        <v>0</v>
      </c>
      <c r="P30" s="15">
        <v>46150</v>
      </c>
      <c r="Q30" s="16"/>
      <c r="R30" s="11">
        <f t="shared" si="6"/>
        <v>-46150</v>
      </c>
      <c r="S30" s="1"/>
      <c r="T30" s="1"/>
      <c r="U30" s="5"/>
      <c r="V30" s="10">
        <v>46150</v>
      </c>
      <c r="W30" s="1"/>
      <c r="X30" s="11">
        <f t="shared" si="4"/>
        <v>-46150</v>
      </c>
    </row>
    <row r="31" spans="1:24" x14ac:dyDescent="0.35">
      <c r="A31" s="10">
        <v>46144.291666666664</v>
      </c>
      <c r="B31" s="10">
        <v>46144.999988425923</v>
      </c>
      <c r="C31" s="11">
        <f t="shared" si="5"/>
        <v>0.708321759258979</v>
      </c>
      <c r="E31" s="10">
        <v>46149.53125</v>
      </c>
      <c r="F31" s="10">
        <v>46149.999988425923</v>
      </c>
      <c r="G31" s="11">
        <f>F31-E31</f>
        <v>0.46873842592322035</v>
      </c>
      <c r="H31" s="2">
        <v>760.20000000004075</v>
      </c>
      <c r="I31" s="10">
        <v>46149.291666666664</v>
      </c>
      <c r="J31" s="10">
        <v>46149.999988425923</v>
      </c>
      <c r="K31" s="11">
        <f t="shared" si="1"/>
        <v>0.708321759258979</v>
      </c>
      <c r="L31" s="5"/>
      <c r="M31" s="10"/>
      <c r="N31" s="10"/>
      <c r="O31" s="11">
        <f t="shared" si="2"/>
        <v>0</v>
      </c>
      <c r="P31" s="16"/>
      <c r="Q31" s="16"/>
      <c r="R31" s="11">
        <f t="shared" si="6"/>
        <v>0</v>
      </c>
      <c r="S31" s="1"/>
      <c r="T31" s="1"/>
      <c r="U31" s="5"/>
      <c r="V31" s="1"/>
      <c r="W31" s="1"/>
      <c r="X31" s="11">
        <f t="shared" si="4"/>
        <v>0</v>
      </c>
    </row>
    <row r="32" spans="1:24" x14ac:dyDescent="0.35">
      <c r="A32" s="10">
        <v>46145</v>
      </c>
      <c r="B32" s="10">
        <v>46145.166666666664</v>
      </c>
      <c r="C32" s="11">
        <f t="shared" si="5"/>
        <v>0.16666666666424135</v>
      </c>
      <c r="D32" s="2">
        <v>790.20000000004802</v>
      </c>
      <c r="E32" s="10">
        <v>46150</v>
      </c>
      <c r="F32" s="10">
        <v>46150.166655092595</v>
      </c>
      <c r="G32" s="11">
        <f t="shared" si="0"/>
        <v>0.16665509259473765</v>
      </c>
      <c r="H32" s="5">
        <f>Sheet1!R40</f>
        <v>721.49999999994179</v>
      </c>
      <c r="I32" s="10">
        <v>46150</v>
      </c>
      <c r="J32" s="10">
        <v>46150.166666666664</v>
      </c>
      <c r="K32" s="11">
        <f t="shared" si="1"/>
        <v>0.16666666666424135</v>
      </c>
      <c r="L32" s="5"/>
      <c r="M32" s="10"/>
      <c r="N32" s="10"/>
      <c r="O32" s="11">
        <f t="shared" si="2"/>
        <v>0</v>
      </c>
      <c r="P32" s="16"/>
      <c r="Q32" s="16"/>
      <c r="R32" s="11">
        <f t="shared" si="6"/>
        <v>0</v>
      </c>
      <c r="S32" s="1"/>
      <c r="T32" s="1"/>
      <c r="U32" s="5"/>
      <c r="V32" s="1"/>
      <c r="W32" s="1"/>
      <c r="X32" s="11">
        <f t="shared" si="4"/>
        <v>0</v>
      </c>
    </row>
    <row r="33" spans="1:24" x14ac:dyDescent="0.35">
      <c r="A33" s="10">
        <v>46145.291666666664</v>
      </c>
      <c r="B33" s="10">
        <v>46145.664571759262</v>
      </c>
      <c r="C33" s="11">
        <f t="shared" si="5"/>
        <v>0.37290509259764804</v>
      </c>
      <c r="E33" s="10">
        <v>46150.5</v>
      </c>
      <c r="F33" s="10">
        <v>46150.999988425923</v>
      </c>
      <c r="G33" s="11">
        <f t="shared" si="0"/>
        <v>0.49998842592322035</v>
      </c>
      <c r="I33" s="10">
        <v>46150.291666666664</v>
      </c>
      <c r="J33" s="10"/>
      <c r="K33" s="11">
        <f t="shared" si="1"/>
        <v>-46150.291666666664</v>
      </c>
      <c r="L33" s="5"/>
      <c r="M33" s="10"/>
      <c r="N33" s="10"/>
      <c r="O33" s="11">
        <f t="shared" si="2"/>
        <v>0</v>
      </c>
      <c r="P33" s="16"/>
      <c r="Q33" s="16"/>
      <c r="R33" s="11">
        <f t="shared" si="6"/>
        <v>0</v>
      </c>
      <c r="S33" s="1"/>
      <c r="T33" s="1"/>
      <c r="U33" s="5"/>
      <c r="V33" s="1"/>
      <c r="W33" s="1"/>
      <c r="X33" s="11">
        <f t="shared" si="4"/>
        <v>0</v>
      </c>
    </row>
    <row r="34" spans="1:24" x14ac:dyDescent="0.35">
      <c r="A34" s="10">
        <v>46146</v>
      </c>
      <c r="B34" s="10">
        <v>46146.999988425923</v>
      </c>
      <c r="C34" s="11">
        <f t="shared" si="5"/>
        <v>0.99998842592322035</v>
      </c>
      <c r="D34" s="2">
        <v>1397</v>
      </c>
      <c r="E34" s="10">
        <v>46151</v>
      </c>
      <c r="F34" s="10">
        <v>46151.416666666664</v>
      </c>
      <c r="G34" s="11">
        <f t="shared" si="0"/>
        <v>0.41666666666424135</v>
      </c>
      <c r="I34" s="1"/>
      <c r="J34" s="1"/>
      <c r="K34" s="11">
        <f t="shared" si="1"/>
        <v>0</v>
      </c>
      <c r="L34" s="5"/>
      <c r="M34" s="10"/>
      <c r="N34" s="10"/>
      <c r="O34" s="11">
        <f t="shared" si="2"/>
        <v>0</v>
      </c>
      <c r="P34" s="16"/>
      <c r="Q34" s="16"/>
      <c r="R34" s="11">
        <f t="shared" si="6"/>
        <v>0</v>
      </c>
      <c r="S34" s="1"/>
      <c r="T34" s="1"/>
      <c r="U34" s="5"/>
      <c r="V34" s="1"/>
      <c r="W34" s="1"/>
      <c r="X34" s="11">
        <f t="shared" si="4"/>
        <v>0</v>
      </c>
    </row>
    <row r="35" spans="1:24" x14ac:dyDescent="0.35">
      <c r="A35" s="10">
        <v>46147</v>
      </c>
      <c r="B35" s="10">
        <v>46147.999988368058</v>
      </c>
      <c r="C35" s="11">
        <f t="shared" si="5"/>
        <v>0.99998836805752944</v>
      </c>
      <c r="D35" s="2">
        <v>1653</v>
      </c>
      <c r="E35" s="10">
        <v>46152</v>
      </c>
      <c r="F35" s="10">
        <v>46152</v>
      </c>
      <c r="G35" s="11">
        <f t="shared" si="0"/>
        <v>0</v>
      </c>
      <c r="H35" s="5">
        <f>Sheet1!R41</f>
        <v>0</v>
      </c>
      <c r="I35" s="1"/>
      <c r="J35" s="1"/>
      <c r="K35" s="11">
        <f t="shared" si="1"/>
        <v>0</v>
      </c>
      <c r="L35" s="5"/>
      <c r="M35" s="10"/>
      <c r="N35" s="10"/>
      <c r="O35" s="11">
        <f t="shared" si="2"/>
        <v>0</v>
      </c>
      <c r="P35" s="16"/>
      <c r="Q35" s="16"/>
      <c r="R35" s="11">
        <f t="shared" si="6"/>
        <v>0</v>
      </c>
      <c r="S35" s="1"/>
      <c r="T35" s="1"/>
      <c r="U35" s="5"/>
      <c r="V35" s="1"/>
      <c r="W35" s="1"/>
      <c r="X35" s="11">
        <f t="shared" si="4"/>
        <v>0</v>
      </c>
    </row>
    <row r="36" spans="1:24" x14ac:dyDescent="0.35">
      <c r="A36" s="10">
        <v>46148</v>
      </c>
      <c r="B36" s="10">
        <v>46148.999988368058</v>
      </c>
      <c r="C36" s="11">
        <f t="shared" si="5"/>
        <v>0.99998836805752944</v>
      </c>
      <c r="D36" s="2">
        <v>1550</v>
      </c>
      <c r="E36" s="10">
        <v>46153</v>
      </c>
      <c r="F36" s="10">
        <v>46153</v>
      </c>
      <c r="G36" s="11">
        <f t="shared" si="0"/>
        <v>0</v>
      </c>
      <c r="H36" s="5">
        <f>Sheet1!R42</f>
        <v>0</v>
      </c>
      <c r="I36" s="1"/>
      <c r="J36" s="1"/>
      <c r="K36" s="11">
        <f t="shared" si="1"/>
        <v>0</v>
      </c>
      <c r="L36" s="5"/>
      <c r="M36" s="10"/>
      <c r="N36" s="10"/>
      <c r="O36" s="11">
        <f t="shared" si="2"/>
        <v>0</v>
      </c>
      <c r="P36" s="16"/>
      <c r="Q36" s="16"/>
      <c r="R36" s="11">
        <f t="shared" si="6"/>
        <v>0</v>
      </c>
      <c r="S36" s="1"/>
      <c r="T36" s="1"/>
      <c r="U36" s="5"/>
      <c r="V36" s="1"/>
      <c r="W36" s="1"/>
      <c r="X36" s="11">
        <f t="shared" si="4"/>
        <v>0</v>
      </c>
    </row>
    <row r="37" spans="1:24" x14ac:dyDescent="0.35">
      <c r="A37" s="10">
        <v>46149</v>
      </c>
      <c r="B37" s="10">
        <v>46149.166666666664</v>
      </c>
      <c r="C37" s="11">
        <f t="shared" si="5"/>
        <v>0.16666666666424135</v>
      </c>
      <c r="D37" s="2">
        <v>1289.3999999999069</v>
      </c>
      <c r="E37" s="10">
        <v>46154</v>
      </c>
      <c r="F37" s="10">
        <v>46154.5625</v>
      </c>
      <c r="G37" s="11">
        <f t="shared" si="0"/>
        <v>0.5625</v>
      </c>
      <c r="H37" s="5">
        <f>Sheet1!R43</f>
        <v>398.5</v>
      </c>
      <c r="I37" s="1"/>
      <c r="J37" s="1"/>
      <c r="K37" s="11">
        <f t="shared" si="1"/>
        <v>0</v>
      </c>
      <c r="L37" s="5"/>
      <c r="M37" s="10"/>
      <c r="N37" s="10"/>
      <c r="O37" s="11">
        <f t="shared" si="2"/>
        <v>0</v>
      </c>
      <c r="P37" s="16"/>
      <c r="Q37" s="16"/>
      <c r="R37" s="11">
        <f t="shared" si="6"/>
        <v>0</v>
      </c>
      <c r="S37" s="1"/>
      <c r="T37" s="1"/>
      <c r="U37" s="5"/>
      <c r="V37" s="1"/>
      <c r="W37" s="1"/>
      <c r="X37" s="11">
        <f t="shared" si="4"/>
        <v>0</v>
      </c>
    </row>
    <row r="38" spans="1:24" x14ac:dyDescent="0.35">
      <c r="A38" s="10">
        <v>46149.333333333336</v>
      </c>
      <c r="B38" s="1"/>
      <c r="C38" s="11">
        <f t="shared" si="5"/>
        <v>-46149.333333333336</v>
      </c>
      <c r="D38" s="4">
        <f>Sheet1!L40</f>
        <v>1203.8000000000684</v>
      </c>
      <c r="E38" s="10">
        <v>46155</v>
      </c>
      <c r="F38" s="10">
        <v>46155</v>
      </c>
      <c r="G38" s="11">
        <f t="shared" si="0"/>
        <v>0</v>
      </c>
      <c r="H38" s="5">
        <f>Sheet1!R44</f>
        <v>599.20000000004075</v>
      </c>
      <c r="I38" s="1"/>
      <c r="J38" s="1"/>
      <c r="K38" s="5"/>
      <c r="L38" s="5"/>
      <c r="M38" s="10"/>
      <c r="N38" s="10"/>
      <c r="O38" s="11">
        <f t="shared" si="2"/>
        <v>0</v>
      </c>
      <c r="P38" s="16"/>
      <c r="Q38" s="16"/>
      <c r="R38" s="11">
        <f t="shared" si="6"/>
        <v>0</v>
      </c>
      <c r="S38" s="1"/>
      <c r="T38" s="1"/>
      <c r="U38" s="5"/>
      <c r="V38" s="1"/>
      <c r="W38" s="1"/>
      <c r="X38" s="11">
        <f t="shared" si="4"/>
        <v>0</v>
      </c>
    </row>
    <row r="39" spans="1:24" x14ac:dyDescent="0.35">
      <c r="A39" s="1"/>
      <c r="B39" s="1"/>
      <c r="C39" s="4"/>
      <c r="D39" s="4">
        <f>Sheet1!L41</f>
        <v>1279.8999999999323</v>
      </c>
      <c r="E39" s="10">
        <v>46156.458333333336</v>
      </c>
      <c r="F39" s="10">
        <v>46156.729166666664</v>
      </c>
      <c r="G39" s="11">
        <f t="shared" si="0"/>
        <v>0.27083333332848269</v>
      </c>
      <c r="H39" s="5">
        <f>Sheet1!R45</f>
        <v>33.600000000005821</v>
      </c>
      <c r="I39" s="1"/>
      <c r="J39" s="1"/>
      <c r="K39" s="5"/>
      <c r="L39" s="5"/>
      <c r="M39" s="1"/>
      <c r="N39" s="1"/>
      <c r="O39" s="5"/>
      <c r="P39" s="16"/>
      <c r="Q39" s="16"/>
      <c r="R39" s="5"/>
      <c r="S39" s="1"/>
      <c r="T39" s="1"/>
      <c r="U39" s="5"/>
      <c r="V39" s="1"/>
      <c r="W39" s="1"/>
      <c r="X39" s="5"/>
    </row>
    <row r="40" spans="1:24" x14ac:dyDescent="0.35">
      <c r="A40" s="1"/>
      <c r="B40" s="1"/>
      <c r="C40" s="4"/>
      <c r="D40" s="4">
        <f>Sheet1!L42</f>
        <v>664.39999999999782</v>
      </c>
      <c r="E40" s="10">
        <v>46157.6875</v>
      </c>
      <c r="F40" s="10">
        <v>46157.999988425923</v>
      </c>
      <c r="G40" s="11">
        <f t="shared" si="0"/>
        <v>0.31248842592322035</v>
      </c>
      <c r="H40" s="5">
        <f>Sheet1!R46</f>
        <v>341.4999999999709</v>
      </c>
      <c r="I40" s="1"/>
      <c r="J40" s="1"/>
      <c r="K40" s="5"/>
      <c r="L40" s="5"/>
      <c r="M40" s="1"/>
      <c r="N40" s="1"/>
      <c r="O40" s="5"/>
      <c r="P40" s="16"/>
      <c r="Q40" s="16"/>
      <c r="R40" s="5"/>
      <c r="S40" s="1"/>
      <c r="T40" s="1"/>
      <c r="U40" s="5"/>
      <c r="V40" s="1"/>
      <c r="W40" s="1"/>
      <c r="X40" s="5"/>
    </row>
    <row r="41" spans="1:24" x14ac:dyDescent="0.35">
      <c r="A41" s="1"/>
      <c r="B41" s="1"/>
      <c r="C41" s="4"/>
      <c r="D41" s="4">
        <f>Sheet1!L43</f>
        <v>1275.4000000000233</v>
      </c>
      <c r="E41" s="10">
        <v>46158</v>
      </c>
      <c r="F41" s="10">
        <v>46158.229166666664</v>
      </c>
      <c r="G41" s="11">
        <f t="shared" si="0"/>
        <v>0.22916666666424135</v>
      </c>
      <c r="H41" s="5">
        <f>Sheet1!R47</f>
        <v>422.60000000003492</v>
      </c>
      <c r="I41" s="1"/>
      <c r="J41" s="1"/>
      <c r="K41" s="5"/>
      <c r="L41" s="5"/>
      <c r="M41" s="1"/>
      <c r="N41" s="1"/>
      <c r="O41" s="5"/>
      <c r="P41" s="16"/>
      <c r="Q41" s="16"/>
      <c r="R41" s="5"/>
      <c r="S41" s="1"/>
      <c r="T41" s="1"/>
      <c r="U41" s="5"/>
      <c r="V41" s="1"/>
      <c r="W41" s="1"/>
      <c r="X41" s="5"/>
    </row>
    <row r="42" spans="1:24" x14ac:dyDescent="0.35">
      <c r="A42" s="1"/>
      <c r="B42" s="1"/>
      <c r="C42" s="4"/>
      <c r="D42" s="4">
        <f>Sheet1!L44</f>
        <v>1573.6000000000022</v>
      </c>
      <c r="E42" s="1"/>
      <c r="F42" s="1"/>
      <c r="G42" s="5"/>
      <c r="H42" s="5">
        <f>Sheet1!R48</f>
        <v>0</v>
      </c>
      <c r="I42" s="1"/>
      <c r="J42" s="1"/>
      <c r="K42" s="5"/>
      <c r="L42" s="5"/>
      <c r="M42" s="1"/>
      <c r="N42" s="1"/>
      <c r="O42" s="5"/>
      <c r="P42" s="16"/>
      <c r="Q42" s="16"/>
      <c r="R42" s="5"/>
      <c r="S42" s="1"/>
      <c r="T42" s="1"/>
      <c r="U42" s="5"/>
      <c r="V42" s="1"/>
      <c r="W42" s="1"/>
      <c r="X42" s="5"/>
    </row>
    <row r="43" spans="1:24" x14ac:dyDescent="0.35">
      <c r="A43" s="1"/>
      <c r="B43" s="1"/>
      <c r="C43" s="4"/>
      <c r="D43" s="4">
        <f>Sheet1!L45</f>
        <v>1726.4000000000669</v>
      </c>
      <c r="E43" s="1"/>
      <c r="F43" s="1"/>
      <c r="G43" s="5"/>
      <c r="H43" s="5">
        <f>Sheet1!R49</f>
        <v>0</v>
      </c>
      <c r="I43" s="1"/>
      <c r="J43" s="1"/>
      <c r="K43" s="5"/>
      <c r="L43" s="5"/>
      <c r="M43" s="1"/>
      <c r="N43" s="1"/>
      <c r="O43" s="5"/>
      <c r="P43" s="16"/>
      <c r="Q43" s="16"/>
      <c r="R43" s="5"/>
      <c r="S43" s="1"/>
      <c r="T43" s="1"/>
      <c r="U43" s="5"/>
      <c r="V43" s="1"/>
      <c r="W43" s="1"/>
      <c r="X43" s="5"/>
    </row>
    <row r="44" spans="1:24" x14ac:dyDescent="0.35">
      <c r="A44" s="1"/>
      <c r="B44" s="1"/>
      <c r="C44" s="4"/>
      <c r="D44" s="4">
        <f>Sheet1!L46</f>
        <v>1404.7000000000007</v>
      </c>
      <c r="E44" s="1"/>
      <c r="F44" s="1"/>
      <c r="G44" s="5"/>
      <c r="H44" s="5">
        <f>Sheet1!R50</f>
        <v>0</v>
      </c>
      <c r="I44" s="1"/>
      <c r="J44" s="1"/>
      <c r="K44" s="5"/>
      <c r="L44" s="5"/>
      <c r="M44" s="1"/>
      <c r="N44" s="1"/>
      <c r="O44" s="5"/>
      <c r="P44" s="16"/>
      <c r="Q44" s="16"/>
      <c r="R44" s="5"/>
      <c r="S44" s="1"/>
      <c r="T44" s="1"/>
      <c r="U44" s="5"/>
      <c r="V44" s="1"/>
      <c r="W44" s="1"/>
      <c r="X44" s="5"/>
    </row>
    <row r="45" spans="1:24" x14ac:dyDescent="0.35">
      <c r="D45" s="4">
        <f>Sheet1!L47</f>
        <v>1652.9000000000015</v>
      </c>
    </row>
    <row r="46" spans="1:24" x14ac:dyDescent="0.35">
      <c r="D46" s="4">
        <f>Sheet1!L48</f>
        <v>1446.2999999999302</v>
      </c>
    </row>
    <row r="47" spans="1:24" x14ac:dyDescent="0.35">
      <c r="D47" s="4">
        <f>Sheet1!L49</f>
        <v>597.20000000006985</v>
      </c>
    </row>
    <row r="48" spans="1:24" x14ac:dyDescent="0.35">
      <c r="D48" s="4">
        <f>Sheet1!L50</f>
        <v>1747.7999999999774</v>
      </c>
    </row>
    <row r="49" spans="4:4" x14ac:dyDescent="0.35">
      <c r="D49" s="4">
        <f>Sheet1!L51</f>
        <v>1670.0000000000218</v>
      </c>
    </row>
    <row r="50" spans="4:4" x14ac:dyDescent="0.35">
      <c r="D50" s="4">
        <f>Sheet1!L52</f>
        <v>1452.4000000000015</v>
      </c>
    </row>
    <row r="51" spans="4:4" x14ac:dyDescent="0.35">
      <c r="D51" s="4">
        <f>Sheet1!L53</f>
        <v>1545.1999999999534</v>
      </c>
    </row>
    <row r="52" spans="4:4" x14ac:dyDescent="0.35">
      <c r="D52" s="4">
        <f>Sheet1!L54</f>
        <v>1570.3000000000466</v>
      </c>
    </row>
    <row r="53" spans="4:4" x14ac:dyDescent="0.35">
      <c r="D53" s="4">
        <f>Sheet1!L55</f>
        <v>1073.0999999999294</v>
      </c>
    </row>
    <row r="54" spans="4:4" x14ac:dyDescent="0.35">
      <c r="D54" s="4">
        <f>Sheet1!L56</f>
        <v>677.50000000006912</v>
      </c>
    </row>
  </sheetData>
  <mergeCells count="8">
    <mergeCell ref="S2:U2"/>
    <mergeCell ref="A1:X1"/>
    <mergeCell ref="V2:X2"/>
    <mergeCell ref="E2:G2"/>
    <mergeCell ref="A2:C2"/>
    <mergeCell ref="I2:K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0"/>
  <sheetViews>
    <sheetView topLeftCell="A13" workbookViewId="0">
      <selection activeCell="E28" sqref="E28"/>
    </sheetView>
  </sheetViews>
  <sheetFormatPr defaultRowHeight="14.5" x14ac:dyDescent="0.35"/>
  <cols>
    <col min="1" max="1" width="9.453125" bestFit="1" customWidth="1"/>
    <col min="2" max="2" width="11.26953125" bestFit="1" customWidth="1"/>
    <col min="3" max="3" width="10.26953125" bestFit="1" customWidth="1"/>
    <col min="4" max="6" width="11.26953125" bestFit="1" customWidth="1"/>
    <col min="7" max="7" width="10.26953125" bestFit="1" customWidth="1"/>
    <col min="8" max="8" width="11.26953125" bestFit="1" customWidth="1"/>
    <col min="9" max="9" width="10.26953125" bestFit="1" customWidth="1"/>
    <col min="10" max="10" width="11.26953125" bestFit="1" customWidth="1"/>
    <col min="11" max="11" width="10.26953125" bestFit="1" customWidth="1"/>
    <col min="12" max="12" width="8.08984375" bestFit="1" customWidth="1"/>
  </cols>
  <sheetData>
    <row r="3" spans="1:12" ht="29" x14ac:dyDescent="0.35">
      <c r="A3" s="22"/>
      <c r="B3" s="30" t="s">
        <v>39</v>
      </c>
      <c r="C3" s="30"/>
      <c r="D3" s="30" t="s">
        <v>40</v>
      </c>
      <c r="E3" s="30"/>
      <c r="F3" s="30" t="s">
        <v>41</v>
      </c>
      <c r="G3" s="30"/>
      <c r="H3" s="30" t="s">
        <v>42</v>
      </c>
      <c r="I3" s="30"/>
      <c r="J3" s="30" t="s">
        <v>43</v>
      </c>
      <c r="K3" s="30"/>
      <c r="L3" s="23" t="s">
        <v>44</v>
      </c>
    </row>
    <row r="4" spans="1:12" x14ac:dyDescent="0.35">
      <c r="A4" s="17" t="s">
        <v>0</v>
      </c>
      <c r="B4" s="17" t="s">
        <v>45</v>
      </c>
      <c r="C4" s="17" t="s">
        <v>46</v>
      </c>
      <c r="D4" s="17" t="s">
        <v>45</v>
      </c>
      <c r="E4" s="17" t="s">
        <v>46</v>
      </c>
      <c r="F4" s="17" t="s">
        <v>45</v>
      </c>
      <c r="G4" s="17" t="s">
        <v>46</v>
      </c>
      <c r="H4" s="17" t="s">
        <v>45</v>
      </c>
      <c r="I4" s="17" t="s">
        <v>46</v>
      </c>
      <c r="J4" s="17" t="s">
        <v>45</v>
      </c>
      <c r="K4" s="17" t="s">
        <v>46</v>
      </c>
      <c r="L4" s="18"/>
    </row>
    <row r="5" spans="1:12" x14ac:dyDescent="0.35">
      <c r="A5" s="19">
        <v>46131</v>
      </c>
      <c r="B5" s="20"/>
      <c r="C5" s="20"/>
      <c r="D5" s="20"/>
      <c r="E5" s="20"/>
      <c r="F5" s="20">
        <v>0.97916666666666663</v>
      </c>
      <c r="G5" s="20">
        <v>6.25E-2</v>
      </c>
      <c r="H5" s="20">
        <v>0.97916666666666663</v>
      </c>
      <c r="I5" s="20">
        <v>6.25E-2</v>
      </c>
      <c r="J5" s="20"/>
      <c r="K5" s="20"/>
      <c r="L5" s="21">
        <v>4</v>
      </c>
    </row>
    <row r="6" spans="1:12" x14ac:dyDescent="0.35">
      <c r="A6" s="19">
        <v>46132</v>
      </c>
      <c r="B6" s="20"/>
      <c r="C6" s="20"/>
      <c r="D6" s="20"/>
      <c r="E6" s="20"/>
      <c r="F6" s="20">
        <v>8.3333333333333329E-2</v>
      </c>
      <c r="G6" s="20">
        <v>0.16666666666666666</v>
      </c>
      <c r="H6" s="20">
        <v>8.3333333333333329E-2</v>
      </c>
      <c r="I6" s="20">
        <v>0.16666666666666666</v>
      </c>
      <c r="J6" s="20">
        <v>8.3333333333333329E-2</v>
      </c>
      <c r="K6" s="20">
        <v>0.16666666666666666</v>
      </c>
      <c r="L6" s="21">
        <v>6</v>
      </c>
    </row>
    <row r="7" spans="1:12" x14ac:dyDescent="0.35">
      <c r="A7" s="19">
        <v>46133</v>
      </c>
      <c r="B7" s="20"/>
      <c r="C7" s="20"/>
      <c r="D7" s="20">
        <v>6.9444444444444447E-4</v>
      </c>
      <c r="E7" s="20">
        <v>0.1875</v>
      </c>
      <c r="F7" s="20">
        <v>6.9444444444444447E-4</v>
      </c>
      <c r="G7" s="20">
        <v>0.1875</v>
      </c>
      <c r="H7" s="20">
        <v>6.9444444444444447E-4</v>
      </c>
      <c r="I7" s="20">
        <v>0.1875</v>
      </c>
      <c r="J7" s="20"/>
      <c r="K7" s="20"/>
      <c r="L7" s="21">
        <v>13.5</v>
      </c>
    </row>
    <row r="8" spans="1:12" x14ac:dyDescent="0.35">
      <c r="A8" s="19">
        <v>46138</v>
      </c>
      <c r="B8" s="20"/>
      <c r="C8" s="20"/>
      <c r="D8" s="20">
        <v>4.1666666666666664E-2</v>
      </c>
      <c r="E8" s="20">
        <v>0.20833333333333334</v>
      </c>
      <c r="F8" s="20">
        <v>4.1666666666666664E-2</v>
      </c>
      <c r="G8" s="20">
        <v>0.20833333333333334</v>
      </c>
      <c r="H8" s="20">
        <v>4.1666666666666664E-2</v>
      </c>
      <c r="I8" s="20">
        <v>0.20833333333333334</v>
      </c>
      <c r="J8" s="20"/>
      <c r="K8" s="20"/>
      <c r="L8" s="21">
        <v>12</v>
      </c>
    </row>
    <row r="9" spans="1:12" x14ac:dyDescent="0.35">
      <c r="A9" s="19">
        <v>46139</v>
      </c>
      <c r="B9" s="20">
        <v>2.0833333333333332E-2</v>
      </c>
      <c r="C9" s="20">
        <v>0.16666666666666666</v>
      </c>
      <c r="D9" s="20"/>
      <c r="E9" s="20"/>
      <c r="F9" s="20">
        <v>2.0833333333333332E-2</v>
      </c>
      <c r="G9" s="20">
        <v>0.16666666666666666</v>
      </c>
      <c r="H9" s="20"/>
      <c r="I9" s="20"/>
      <c r="J9" s="20">
        <v>2.0833333333333332E-2</v>
      </c>
      <c r="K9" s="20">
        <v>0.16666666666666666</v>
      </c>
      <c r="L9" s="21">
        <v>13.5</v>
      </c>
    </row>
    <row r="10" spans="1:12" x14ac:dyDescent="0.35">
      <c r="A10" s="19">
        <v>46140</v>
      </c>
      <c r="B10" s="20"/>
      <c r="C10" s="20"/>
      <c r="D10" s="20">
        <v>4.1666666666666664E-2</v>
      </c>
      <c r="E10" s="20">
        <v>0.20833333333333334</v>
      </c>
      <c r="F10" s="20">
        <v>4.1666666666666664E-2</v>
      </c>
      <c r="G10" s="20">
        <v>0.20833333333333334</v>
      </c>
      <c r="H10" s="20">
        <v>4.1666666666666664E-2</v>
      </c>
      <c r="I10" s="20">
        <v>0.20833333333333334</v>
      </c>
      <c r="J10" s="20"/>
      <c r="K10" s="20"/>
      <c r="L10" s="21">
        <v>12</v>
      </c>
    </row>
    <row r="11" spans="1:12" x14ac:dyDescent="0.35">
      <c r="A11" s="19">
        <v>46141</v>
      </c>
      <c r="B11" s="20">
        <v>8.3333333333333329E-2</v>
      </c>
      <c r="C11" s="20">
        <v>0.16666666666666666</v>
      </c>
      <c r="D11" s="20"/>
      <c r="E11" s="20"/>
      <c r="F11" s="20">
        <v>8.3333333333333329E-2</v>
      </c>
      <c r="G11" s="20">
        <v>0.16666666666666666</v>
      </c>
      <c r="H11" s="20"/>
      <c r="I11" s="20"/>
      <c r="J11" s="20">
        <v>8.3333333333333329E-2</v>
      </c>
      <c r="K11" s="20">
        <v>0.16666666666666666</v>
      </c>
      <c r="L11" s="21">
        <v>6</v>
      </c>
    </row>
    <row r="12" spans="1:12" x14ac:dyDescent="0.35">
      <c r="A12" s="19">
        <v>46142</v>
      </c>
      <c r="B12" s="1"/>
      <c r="C12" s="1"/>
      <c r="D12" s="24">
        <v>12</v>
      </c>
      <c r="E12" s="24">
        <v>5.208333333333333</v>
      </c>
      <c r="F12" s="24">
        <v>12</v>
      </c>
      <c r="G12" s="24">
        <v>5.208333333333333</v>
      </c>
      <c r="H12" s="24">
        <v>12</v>
      </c>
      <c r="I12" s="24">
        <v>5.208333333333333</v>
      </c>
      <c r="J12" s="1"/>
      <c r="K12" s="1"/>
      <c r="L12" s="21">
        <f>3*5</f>
        <v>15</v>
      </c>
    </row>
    <row r="13" spans="1:12" x14ac:dyDescent="0.35">
      <c r="A13" s="19">
        <v>46143</v>
      </c>
      <c r="B13" s="24">
        <v>12</v>
      </c>
      <c r="C13" s="24">
        <v>5.208333333333333</v>
      </c>
      <c r="D13" s="24">
        <v>12</v>
      </c>
      <c r="E13" s="24">
        <v>5.208333333333333</v>
      </c>
      <c r="F13" s="24">
        <v>12</v>
      </c>
      <c r="G13" s="24">
        <v>5.208333333333333</v>
      </c>
      <c r="H13" s="1"/>
      <c r="I13" s="1"/>
      <c r="J13" s="1"/>
      <c r="K13" s="1"/>
      <c r="L13" s="21">
        <f>3*5</f>
        <v>15</v>
      </c>
    </row>
    <row r="14" spans="1:12" x14ac:dyDescent="0.35">
      <c r="A14" s="19">
        <v>46144</v>
      </c>
      <c r="B14" s="1"/>
      <c r="C14" s="1"/>
      <c r="D14" s="24">
        <v>12</v>
      </c>
      <c r="E14" s="24">
        <v>5.208333333333333</v>
      </c>
      <c r="F14" s="1"/>
      <c r="G14" s="1"/>
      <c r="H14" s="24">
        <v>12</v>
      </c>
      <c r="I14" s="24">
        <v>5.208333333333333</v>
      </c>
      <c r="J14" s="24">
        <v>12</v>
      </c>
      <c r="K14" s="24">
        <v>5.208333333333333</v>
      </c>
      <c r="L14" s="21">
        <f>3*5</f>
        <v>15</v>
      </c>
    </row>
    <row r="15" spans="1:12" x14ac:dyDescent="0.35">
      <c r="A15" s="19">
        <v>46145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9">
        <v>46146</v>
      </c>
      <c r="B16" s="24">
        <v>12</v>
      </c>
      <c r="C16" s="24">
        <v>5.208333333333333</v>
      </c>
      <c r="D16" s="1"/>
      <c r="E16" s="1"/>
      <c r="F16" s="24">
        <v>12</v>
      </c>
      <c r="G16" s="24">
        <v>5.208333333333333</v>
      </c>
      <c r="H16" s="1"/>
      <c r="I16" s="1"/>
      <c r="J16" s="24">
        <v>12</v>
      </c>
      <c r="K16" s="24">
        <v>5.208333333333333</v>
      </c>
      <c r="L16" s="21">
        <f>3*5</f>
        <v>15</v>
      </c>
    </row>
    <row r="17" spans="1:12" x14ac:dyDescent="0.35">
      <c r="A17" s="19">
        <v>46147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9">
        <v>46148</v>
      </c>
      <c r="B18" s="1"/>
      <c r="C18" s="1"/>
      <c r="D18" s="24">
        <v>12</v>
      </c>
      <c r="E18" s="24">
        <v>5.208333333333333</v>
      </c>
      <c r="F18" s="24">
        <v>12</v>
      </c>
      <c r="G18" s="24">
        <v>5.208333333333333</v>
      </c>
      <c r="H18" s="24">
        <v>12</v>
      </c>
      <c r="I18" s="24">
        <v>5.208333333333333</v>
      </c>
      <c r="J18" s="1"/>
      <c r="K18" s="1"/>
      <c r="L18" s="21">
        <f>3*5</f>
        <v>15</v>
      </c>
    </row>
    <row r="19" spans="1:12" x14ac:dyDescent="0.35">
      <c r="A19" s="19">
        <v>46149</v>
      </c>
      <c r="B19" s="1"/>
      <c r="C19" s="1"/>
      <c r="D19" s="24">
        <v>12</v>
      </c>
      <c r="E19" s="24">
        <v>5.208333333333333</v>
      </c>
      <c r="F19" s="24">
        <v>12</v>
      </c>
      <c r="G19" s="24">
        <v>5.208333333333333</v>
      </c>
      <c r="H19" s="24">
        <v>12</v>
      </c>
      <c r="I19" s="24">
        <v>5.208333333333333</v>
      </c>
      <c r="J19" s="1"/>
      <c r="K19" s="1"/>
      <c r="L19" s="21">
        <f>3*5</f>
        <v>15</v>
      </c>
    </row>
    <row r="20" spans="1:12" x14ac:dyDescent="0.35">
      <c r="A20" s="19">
        <v>46150</v>
      </c>
      <c r="B20" s="1"/>
      <c r="C20" s="1"/>
      <c r="D20" s="24">
        <v>12</v>
      </c>
      <c r="E20" s="24">
        <v>5.208333333333333</v>
      </c>
      <c r="F20" s="24">
        <v>12</v>
      </c>
      <c r="G20" s="24">
        <v>5.208333333333333</v>
      </c>
      <c r="H20" s="24">
        <v>12</v>
      </c>
      <c r="I20" s="24">
        <v>5.208333333333333</v>
      </c>
      <c r="J20" s="1"/>
      <c r="K20" s="1"/>
      <c r="L20" s="21">
        <f>3*5</f>
        <v>15</v>
      </c>
    </row>
  </sheetData>
  <mergeCells count="5">
    <mergeCell ref="J3:K3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Ray</dc:creator>
  <cp:lastModifiedBy>Satyam Ray</cp:lastModifiedBy>
  <dcterms:created xsi:type="dcterms:W3CDTF">2026-04-14T07:19:23Z</dcterms:created>
  <dcterms:modified xsi:type="dcterms:W3CDTF">2026-06-11T05:29:41Z</dcterms:modified>
</cp:coreProperties>
</file>